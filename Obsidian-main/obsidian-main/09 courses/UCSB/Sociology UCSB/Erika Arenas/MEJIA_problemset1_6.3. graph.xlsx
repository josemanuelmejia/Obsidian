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964\Documents\GitHub\Obsidian\data-analysis_ucsb\205B\"/>
    </mc:Choice>
  </mc:AlternateContent>
  <xr:revisionPtr revIDLastSave="0" documentId="8_{3F1BE497-6BB1-49FD-8445-412D5BD4E95F}" xr6:coauthVersionLast="47" xr6:coauthVersionMax="47" xr10:uidLastSave="{00000000-0000-0000-0000-000000000000}"/>
  <bookViews>
    <workbookView xWindow="-108" yWindow="-108" windowWidth="23256" windowHeight="13176" activeTab="6" xr2:uid="{4BF18C1B-C151-43E3-9B8B-E5DF65A0FFFD}"/>
  </bookViews>
  <sheets>
    <sheet name="Hoja1" sheetId="1" r:id="rId1"/>
    <sheet name="Hoja3" sheetId="3" r:id="rId2"/>
    <sheet name="Hoja4" sheetId="4" r:id="rId3"/>
    <sheet name="Hoja2" sheetId="2" r:id="rId4"/>
    <sheet name="Hoja5" sheetId="5" r:id="rId5"/>
    <sheet name="Hoja2 (2)" sheetId="6" r:id="rId6"/>
    <sheet name="6.3. GRAPH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7" l="1"/>
  <c r="E22" i="7"/>
  <c r="J21" i="7"/>
  <c r="E21" i="7"/>
  <c r="J20" i="7"/>
  <c r="E20" i="7"/>
  <c r="J19" i="7"/>
  <c r="E19" i="7"/>
  <c r="J18" i="7"/>
  <c r="E18" i="7"/>
  <c r="J17" i="7"/>
  <c r="E17" i="7"/>
  <c r="J16" i="7"/>
  <c r="E16" i="7"/>
  <c r="J15" i="7"/>
  <c r="E15" i="7"/>
  <c r="J14" i="7"/>
  <c r="E14" i="7"/>
  <c r="J13" i="7"/>
  <c r="E13" i="7"/>
  <c r="J12" i="7"/>
  <c r="E12" i="7"/>
  <c r="J11" i="7"/>
  <c r="E11" i="7"/>
  <c r="J10" i="7"/>
  <c r="E10" i="7"/>
  <c r="J9" i="7"/>
  <c r="E9" i="7"/>
  <c r="J8" i="7"/>
  <c r="E8" i="7"/>
  <c r="J7" i="7"/>
  <c r="E7" i="7"/>
  <c r="J6" i="7"/>
  <c r="E6" i="7"/>
  <c r="J5" i="7"/>
  <c r="E5" i="7"/>
  <c r="J4" i="7"/>
  <c r="E4" i="7"/>
  <c r="J3" i="7"/>
  <c r="E3" i="7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N3" i="6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3" i="2"/>
  <c r="E12" i="1"/>
  <c r="E14" i="1"/>
  <c r="E15" i="1"/>
  <c r="E16" i="1"/>
  <c r="E17" i="1"/>
  <c r="E18" i="1"/>
  <c r="E19" i="1"/>
  <c r="E20" i="1"/>
  <c r="E21" i="1"/>
</calcChain>
</file>

<file path=xl/sharedStrings.xml><?xml version="1.0" encoding="utf-8"?>
<sst xmlns="http://schemas.openxmlformats.org/spreadsheetml/2006/main" count="631" uniqueCount="248">
  <si>
    <t>prestg10  Coefficient  Std. err.</t>
  </si>
  <si>
    <t>t</t>
  </si>
  <si>
    <t>P&gt;t</t>
  </si>
  <si>
    <t>[95% conf. interval]</t>
  </si>
  <si>
    <t>yreduc    .7403953   .5862692</t>
  </si>
  <si>
    <t>-.4090954    1.889886</t>
  </si>
  <si>
    <t xml:space="preserve">yreduc </t>
  </si>
  <si>
    <t>1    -.7403953   16.11428</t>
  </si>
  <si>
    <t>-32.33545    30.85466</t>
  </si>
  <si>
    <t>2    -18.11926    13.3732</t>
  </si>
  <si>
    <t>-44.33992    8.101409</t>
  </si>
  <si>
    <t>3    -19.64427   10.75854</t>
  </si>
  <si>
    <t>-40.7384    1.449863</t>
  </si>
  <si>
    <t>4    -6.479534   10.49729</t>
  </si>
  <si>
    <t>-27.06145    14.10238</t>
  </si>
  <si>
    <t>5    -7.157362   10.20455</t>
  </si>
  <si>
    <t>-27.1653    12.85058</t>
  </si>
  <si>
    <t>6    -11.64468    8.59173</t>
  </si>
  <si>
    <t>-28.49038    5.201014</t>
  </si>
  <si>
    <t>7    -19.02123   8.452893</t>
  </si>
  <si>
    <t>8    -11.96404   7.293913</t>
  </si>
  <si>
    <t>-26.26513     2.33704</t>
  </si>
  <si>
    <t>9    -13.78119   6.658805</t>
  </si>
  <si>
    <t>10     -17.0597   6.029562</t>
  </si>
  <si>
    <t>11    -16.31117     5.4106</t>
  </si>
  <si>
    <t>12    -14.32734   4.727758</t>
  </si>
  <si>
    <t>13    -12.96823   4.205432</t>
  </si>
  <si>
    <t>14     -11.2009   3.611589</t>
  </si>
  <si>
    <t>15    -11.40264   3.139368</t>
  </si>
  <si>
    <t>16    -5.385548   2.505971</t>
  </si>
  <si>
    <t>17    -3.187213   2.152876</t>
  </si>
  <si>
    <t>-7.408329    1.033904</t>
  </si>
  <si>
    <t>18    -1.324833   1.679021</t>
  </si>
  <si>
    <t>-4.616869    1.967202</t>
  </si>
  <si>
    <t>19    -2.746606   1.720055</t>
  </si>
  <si>
    <t>-6.119096    .6258837</t>
  </si>
  <si>
    <t>20            0  (omitted)</t>
  </si>
  <si>
    <t>male    .2769292   .4081744</t>
  </si>
  <si>
    <t>-.5233732    1.077232</t>
  </si>
  <si>
    <t>1.male           0  (omitted)</t>
  </si>
  <si>
    <t>_cons          44   11.68278</t>
  </si>
  <si>
    <t>21.09371    66.90629</t>
  </si>
  <si>
    <t>Std. err.</t>
  </si>
  <si>
    <t>yreduc</t>
  </si>
  <si>
    <t>male</t>
  </si>
  <si>
    <t>1.male</t>
  </si>
  <si>
    <t>_cons</t>
  </si>
  <si>
    <t>_Iyreduc_1</t>
  </si>
  <si>
    <t>_Iyreduc_2</t>
  </si>
  <si>
    <t>_Iyreduc_3</t>
  </si>
  <si>
    <t>_Iyreduc_4</t>
  </si>
  <si>
    <t>_Iyreduc_5</t>
  </si>
  <si>
    <t>_Iyreduc_6</t>
  </si>
  <si>
    <t>_Iyreduc_7</t>
  </si>
  <si>
    <t>_Iyreduc_8</t>
  </si>
  <si>
    <t>_Iyreduc_9</t>
  </si>
  <si>
    <t>_Iyreduc_10</t>
  </si>
  <si>
    <t>_Iyreduc_11</t>
  </si>
  <si>
    <t>_Iyreduc_12</t>
  </si>
  <si>
    <t>_Iyreduc_13</t>
  </si>
  <si>
    <t>_Iyreduc_14</t>
  </si>
  <si>
    <t>_Iyreduc_15</t>
  </si>
  <si>
    <t>_Iyreduc_16</t>
  </si>
  <si>
    <t>_Iyreduc_17</t>
  </si>
  <si>
    <t>_Iyreduc_18</t>
  </si>
  <si>
    <t>_Iyreduc_19</t>
  </si>
  <si>
    <t>_Iyreduc_20</t>
  </si>
  <si>
    <t>_IyreXmale_1</t>
  </si>
  <si>
    <t>_IyreXmale_2</t>
  </si>
  <si>
    <t>_IyreXmale_3</t>
  </si>
  <si>
    <t>_IyreXmale_4</t>
  </si>
  <si>
    <t>_IyreXmale_5</t>
  </si>
  <si>
    <t>_IyreXmale_6</t>
  </si>
  <si>
    <t>_IyreXmale_7</t>
  </si>
  <si>
    <t>_IyreXmale_8</t>
  </si>
  <si>
    <t>_IyreXmale_9</t>
  </si>
  <si>
    <t>_IyreXmale_10</t>
  </si>
  <si>
    <t>_IyreXmale_11</t>
  </si>
  <si>
    <t>_IyreXmale_12</t>
  </si>
  <si>
    <t>_IyreXmale_13</t>
  </si>
  <si>
    <t>_IyreXmale_14</t>
  </si>
  <si>
    <t>_IyreXmale_15</t>
  </si>
  <si>
    <t>_IyreXmale_16</t>
  </si>
  <si>
    <t>_IyreXmale_17</t>
  </si>
  <si>
    <t>_IyreXmale_18</t>
  </si>
  <si>
    <t>_IyreXmale_19</t>
  </si>
  <si>
    <t>_IyreXmale_20</t>
  </si>
  <si>
    <t>b</t>
  </si>
  <si>
    <t>MODEL 1</t>
  </si>
  <si>
    <t>MODEL 2</t>
  </si>
  <si>
    <t>b0</t>
  </si>
  <si>
    <t>byreduc</t>
  </si>
  <si>
    <t>freqyreduc</t>
  </si>
  <si>
    <t>yi</t>
  </si>
  <si>
    <t>female</t>
  </si>
  <si>
    <t>Model 2</t>
  </si>
  <si>
    <t>Coefficient</t>
  </si>
  <si>
    <t>yreducmale</t>
  </si>
  <si>
    <t>(omitted)</t>
  </si>
  <si>
    <t>Model 1</t>
  </si>
  <si>
    <t>prestg10</t>
  </si>
  <si>
    <t>age</t>
  </si>
  <si>
    <t>_Iage_19</t>
  </si>
  <si>
    <t>_Iage_20</t>
  </si>
  <si>
    <t>_Iage_21</t>
  </si>
  <si>
    <t>_Iage_22</t>
  </si>
  <si>
    <t>_Iage_23</t>
  </si>
  <si>
    <t>_Iage_24</t>
  </si>
  <si>
    <t>_Iage_25</t>
  </si>
  <si>
    <t>_Iage_26</t>
  </si>
  <si>
    <t>_Iage_27</t>
  </si>
  <si>
    <t>_Iage_28</t>
  </si>
  <si>
    <t>_Iage_29</t>
  </si>
  <si>
    <t>_Iage_30</t>
  </si>
  <si>
    <t>_Iage_31</t>
  </si>
  <si>
    <t>_Iage_32</t>
  </si>
  <si>
    <t>_Iage_33</t>
  </si>
  <si>
    <t>_Iage_34</t>
  </si>
  <si>
    <t>_Iage_35</t>
  </si>
  <si>
    <t>_Iage_36</t>
  </si>
  <si>
    <t>_Iage_37</t>
  </si>
  <si>
    <t>_Iage_38</t>
  </si>
  <si>
    <t>_Iage_39</t>
  </si>
  <si>
    <t>_Iage_40</t>
  </si>
  <si>
    <t>_Iage_41</t>
  </si>
  <si>
    <t>_Iage_42</t>
  </si>
  <si>
    <t>_Iage_43</t>
  </si>
  <si>
    <t>_Iage_44</t>
  </si>
  <si>
    <t>_Iage_45</t>
  </si>
  <si>
    <t>_Iage_46</t>
  </si>
  <si>
    <t>_Iage_47</t>
  </si>
  <si>
    <t>_Iage_48</t>
  </si>
  <si>
    <t>_Iage_49</t>
  </si>
  <si>
    <t>_Iage_50</t>
  </si>
  <si>
    <t>_Iage_51</t>
  </si>
  <si>
    <t>_Iage_52</t>
  </si>
  <si>
    <t>_Iage_53</t>
  </si>
  <si>
    <t>_Iage_54</t>
  </si>
  <si>
    <t>_Iage_55</t>
  </si>
  <si>
    <t>_Iage_56</t>
  </si>
  <si>
    <t>_Iage_57</t>
  </si>
  <si>
    <t>_Iage_58</t>
  </si>
  <si>
    <t>_Iage_59</t>
  </si>
  <si>
    <t>_Iage_60</t>
  </si>
  <si>
    <t>_Iage_61</t>
  </si>
  <si>
    <t>_Iage_62</t>
  </si>
  <si>
    <t>_Iage_63</t>
  </si>
  <si>
    <t>_Iage_64</t>
  </si>
  <si>
    <t>_Iage_65</t>
  </si>
  <si>
    <t>_Iage_66</t>
  </si>
  <si>
    <t>_Iage_67</t>
  </si>
  <si>
    <t>_Iage_68</t>
  </si>
  <si>
    <t>_Iage_69</t>
  </si>
  <si>
    <t>_Iage_70</t>
  </si>
  <si>
    <t>_Iage_71</t>
  </si>
  <si>
    <t>_Iage_72</t>
  </si>
  <si>
    <t>_Iage_73</t>
  </si>
  <si>
    <t>_Iage_74</t>
  </si>
  <si>
    <t>_Iage_75</t>
  </si>
  <si>
    <t>_Iage_76</t>
  </si>
  <si>
    <t>_Iage_77</t>
  </si>
  <si>
    <t>_Iage_78</t>
  </si>
  <si>
    <t>_Iage_79</t>
  </si>
  <si>
    <t>_Iage_80</t>
  </si>
  <si>
    <t>_Iage_81</t>
  </si>
  <si>
    <t>_Iage_82</t>
  </si>
  <si>
    <t>_Iage_83</t>
  </si>
  <si>
    <t>_Iage_84</t>
  </si>
  <si>
    <t>_Iage_85</t>
  </si>
  <si>
    <t>_Iage_86</t>
  </si>
  <si>
    <t>_Iage_87</t>
  </si>
  <si>
    <t>_Iage_88</t>
  </si>
  <si>
    <t>_Iage_89</t>
  </si>
  <si>
    <t>_IageXyred_19</t>
  </si>
  <si>
    <t>_IageXyred_20</t>
  </si>
  <si>
    <t>_IageXyred_21</t>
  </si>
  <si>
    <t>_IageXyred_22</t>
  </si>
  <si>
    <t>_IageXyred_23</t>
  </si>
  <si>
    <t>_IageXyred_24</t>
  </si>
  <si>
    <t>_IageXyred_25</t>
  </si>
  <si>
    <t>_IageXyred_26</t>
  </si>
  <si>
    <t>_IageXyred_27</t>
  </si>
  <si>
    <t>_IageXyred_28</t>
  </si>
  <si>
    <t>_IageXyred_29</t>
  </si>
  <si>
    <t>_IageXyred_30</t>
  </si>
  <si>
    <t>_IageXyred_31</t>
  </si>
  <si>
    <t>_IageXyred_32</t>
  </si>
  <si>
    <t>_IageXyred_33</t>
  </si>
  <si>
    <t>_IageXyred_34</t>
  </si>
  <si>
    <t>_IageXyred_35</t>
  </si>
  <si>
    <t>_IageXyred_36</t>
  </si>
  <si>
    <t>_IageXyred_37</t>
  </si>
  <si>
    <t>_IageXyred_38</t>
  </si>
  <si>
    <t>_IageXyred_39</t>
  </si>
  <si>
    <t>_IageXyred_40</t>
  </si>
  <si>
    <t>_IageXyred_41</t>
  </si>
  <si>
    <t>_IageXyred_42</t>
  </si>
  <si>
    <t>_IageXyred_43</t>
  </si>
  <si>
    <t>_IageXyred_44</t>
  </si>
  <si>
    <t>_IageXyred_45</t>
  </si>
  <si>
    <t>_IageXyred_46</t>
  </si>
  <si>
    <t>_IageXyred_47</t>
  </si>
  <si>
    <t>_IageXyred_48</t>
  </si>
  <si>
    <t>_IageXyred_49</t>
  </si>
  <si>
    <t>_IageXyred_50</t>
  </si>
  <si>
    <t>_IageXyred_51</t>
  </si>
  <si>
    <t>_IageXyred_52</t>
  </si>
  <si>
    <t>_IageXyred_53</t>
  </si>
  <si>
    <t>_IageXyred_54</t>
  </si>
  <si>
    <t>_IageXyred_55</t>
  </si>
  <si>
    <t>_IageXyred_56</t>
  </si>
  <si>
    <t>_IageXyred_57</t>
  </si>
  <si>
    <t>_IageXyred_58</t>
  </si>
  <si>
    <t>_IageXyred_59</t>
  </si>
  <si>
    <t>_IageXyred_60</t>
  </si>
  <si>
    <t>_IageXyred_61</t>
  </si>
  <si>
    <t>_IageXyred_62</t>
  </si>
  <si>
    <t>_IageXyred_63</t>
  </si>
  <si>
    <t>_IageXyred_64</t>
  </si>
  <si>
    <t>_IageXyred_65</t>
  </si>
  <si>
    <t>_IageXyred_66</t>
  </si>
  <si>
    <t>_IageXyred_67</t>
  </si>
  <si>
    <t>_IageXyred_68</t>
  </si>
  <si>
    <t>_IageXyred_69</t>
  </si>
  <si>
    <t>_IageXyred_70</t>
  </si>
  <si>
    <t>_IageXyred_71</t>
  </si>
  <si>
    <t>_IageXyred_72</t>
  </si>
  <si>
    <t>_IageXyred_73</t>
  </si>
  <si>
    <t>_IageXyred_74</t>
  </si>
  <si>
    <t>_IageXyred_75</t>
  </si>
  <si>
    <t>_IageXyred_76</t>
  </si>
  <si>
    <t>_IageXyred_77</t>
  </si>
  <si>
    <t>_IageXyred_78</t>
  </si>
  <si>
    <t>_IageXyred_79</t>
  </si>
  <si>
    <t>_IageXyred_80</t>
  </si>
  <si>
    <t>_IageXyred_81</t>
  </si>
  <si>
    <t>_IageXyred_82</t>
  </si>
  <si>
    <t>_IageXyred_83</t>
  </si>
  <si>
    <t>_IageXyred_84</t>
  </si>
  <si>
    <t>_IageXyred_85</t>
  </si>
  <si>
    <t>_IageXyred_86</t>
  </si>
  <si>
    <t>_IageXyred_87</t>
  </si>
  <si>
    <t>_IageXyred_88</t>
  </si>
  <si>
    <t>_IageXyred_89</t>
  </si>
  <si>
    <t>yreducage</t>
  </si>
  <si>
    <t>Model 1 (restricted)</t>
  </si>
  <si>
    <t>Model 2 (nested)</t>
  </si>
  <si>
    <t>freqage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</si>
</sst>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Aptos Narrow"/>
      <family val="2"/>
      <scheme val="minor"/>
    </font>
    <font>
      <sz val="8"/>
      <color rgb="FF15D00D"/>
      <name val="Univers"/>
      <family val="2"/>
    </font>
    <font>
      <b/>
      <sz val="8"/>
      <color rgb="FF15D00D"/>
      <name val="Univers"/>
      <family val="2"/>
    </font>
    <font>
      <sz val="9"/>
      <color theme="1"/>
      <name val="Aptos Narrow"/>
      <family val="2"/>
      <scheme val="minor"/>
    </font>
    <font>
      <b/>
      <sz val="9"/>
      <color rgb="FF15D00D"/>
      <name val="Var(--table-header-font)"/>
    </font>
    <font>
      <sz val="9"/>
      <color rgb="FF15D00D"/>
      <name val="Times New Roman"/>
      <family val="1"/>
    </font>
    <font>
      <i/>
      <sz val="8"/>
      <color rgb="FF15D00D"/>
      <name val="Univers"/>
      <family val="2"/>
    </font>
    <font>
      <b/>
      <sz val="8"/>
      <color rgb="FF15D00D"/>
      <name val="Var(--table-header-font)"/>
    </font>
    <font>
      <sz val="8"/>
      <color rgb="FF15D00D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164" fontId="8" fillId="2" borderId="0" xfId="0" applyNumberFormat="1" applyFont="1" applyFill="1" applyAlignment="1">
      <alignment vertical="center" wrapText="1"/>
    </xf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8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v>prestg10_female</c:v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Hoja2!$N$3:$N$22</c:f>
              <c:numCache>
                <c:formatCode>General</c:formatCode>
                <c:ptCount val="20"/>
                <c:pt idx="0">
                  <c:v>13.649999999999999</c:v>
                </c:pt>
                <c:pt idx="1">
                  <c:v>16.02</c:v>
                </c:pt>
                <c:pt idx="2">
                  <c:v>18.39</c:v>
                </c:pt>
                <c:pt idx="3">
                  <c:v>20.759999999999998</c:v>
                </c:pt>
                <c:pt idx="4">
                  <c:v>23.130000000000003</c:v>
                </c:pt>
                <c:pt idx="5">
                  <c:v>25.5</c:v>
                </c:pt>
                <c:pt idx="6">
                  <c:v>27.869999999999997</c:v>
                </c:pt>
                <c:pt idx="7">
                  <c:v>30.240000000000002</c:v>
                </c:pt>
                <c:pt idx="8">
                  <c:v>32.61</c:v>
                </c:pt>
                <c:pt idx="9">
                  <c:v>34.980000000000004</c:v>
                </c:pt>
                <c:pt idx="10">
                  <c:v>37.35</c:v>
                </c:pt>
                <c:pt idx="11">
                  <c:v>39.72</c:v>
                </c:pt>
                <c:pt idx="12">
                  <c:v>42.09</c:v>
                </c:pt>
                <c:pt idx="13">
                  <c:v>44.46</c:v>
                </c:pt>
                <c:pt idx="14">
                  <c:v>46.830000000000005</c:v>
                </c:pt>
                <c:pt idx="15">
                  <c:v>49.2</c:v>
                </c:pt>
                <c:pt idx="16">
                  <c:v>51.57</c:v>
                </c:pt>
                <c:pt idx="17">
                  <c:v>53.940000000000005</c:v>
                </c:pt>
                <c:pt idx="18">
                  <c:v>56.31</c:v>
                </c:pt>
                <c:pt idx="19">
                  <c:v>58.680000000000007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7B-4E2E-99AB-9085B52D8FA0}"/>
            </c:ext>
          </c:extLst>
        </c:ser>
        <c:ser>
          <c:idx val="1"/>
          <c:order val="1"/>
          <c:tx>
            <c:v>prestg10_male</c:v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Hoja2!$S$3:$S$22</c:f>
              <c:numCache>
                <c:formatCode>General</c:formatCode>
                <c:ptCount val="20"/>
                <c:pt idx="0">
                  <c:v>15.98</c:v>
                </c:pt>
                <c:pt idx="1">
                  <c:v>18.189999999999998</c:v>
                </c:pt>
                <c:pt idx="2">
                  <c:v>20.399999999999999</c:v>
                </c:pt>
                <c:pt idx="3">
                  <c:v>22.61</c:v>
                </c:pt>
                <c:pt idx="4">
                  <c:v>24.82</c:v>
                </c:pt>
                <c:pt idx="5">
                  <c:v>27.03</c:v>
                </c:pt>
                <c:pt idx="6">
                  <c:v>29.24</c:v>
                </c:pt>
                <c:pt idx="7">
                  <c:v>31.45</c:v>
                </c:pt>
                <c:pt idx="8">
                  <c:v>33.659999999999997</c:v>
                </c:pt>
                <c:pt idx="9">
                  <c:v>35.870000000000005</c:v>
                </c:pt>
                <c:pt idx="10">
                  <c:v>38.08</c:v>
                </c:pt>
                <c:pt idx="11">
                  <c:v>40.29</c:v>
                </c:pt>
                <c:pt idx="12">
                  <c:v>42.5</c:v>
                </c:pt>
                <c:pt idx="13">
                  <c:v>44.709999999999994</c:v>
                </c:pt>
                <c:pt idx="14">
                  <c:v>46.92</c:v>
                </c:pt>
                <c:pt idx="15">
                  <c:v>49.129999999999995</c:v>
                </c:pt>
                <c:pt idx="16">
                  <c:v>51.34</c:v>
                </c:pt>
                <c:pt idx="17">
                  <c:v>53.55</c:v>
                </c:pt>
                <c:pt idx="18">
                  <c:v>55.760000000000005</c:v>
                </c:pt>
                <c:pt idx="19">
                  <c:v>57.97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7B-4E2E-99AB-9085B52D8F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26451808"/>
        <c:axId val="1828721648"/>
      </c:lineChart>
      <c:catAx>
        <c:axId val="182645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8721648"/>
        <c:crosses val="autoZero"/>
        <c:auto val="1"/>
        <c:lblAlgn val="ctr"/>
        <c:lblOffset val="100"/>
        <c:noMultiLvlLbl val="0"/>
      </c:catAx>
      <c:valAx>
        <c:axId val="182872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645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v>prestg10_female</c:v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'Hoja2 (2)'!$N$3:$N$22</c:f>
              <c:numCache>
                <c:formatCode>General</c:formatCode>
                <c:ptCount val="20"/>
                <c:pt idx="0">
                  <c:v>53.03</c:v>
                </c:pt>
                <c:pt idx="1">
                  <c:v>55.34</c:v>
                </c:pt>
                <c:pt idx="2">
                  <c:v>57.65</c:v>
                </c:pt>
                <c:pt idx="3">
                  <c:v>59.96</c:v>
                </c:pt>
                <c:pt idx="4">
                  <c:v>62.27</c:v>
                </c:pt>
                <c:pt idx="5">
                  <c:v>64.58</c:v>
                </c:pt>
                <c:pt idx="6">
                  <c:v>66.89</c:v>
                </c:pt>
                <c:pt idx="7">
                  <c:v>69.2</c:v>
                </c:pt>
                <c:pt idx="8">
                  <c:v>71.510000000000005</c:v>
                </c:pt>
                <c:pt idx="9">
                  <c:v>73.820000000000007</c:v>
                </c:pt>
                <c:pt idx="10">
                  <c:v>76.13</c:v>
                </c:pt>
                <c:pt idx="11">
                  <c:v>78.44</c:v>
                </c:pt>
                <c:pt idx="12">
                  <c:v>80.75</c:v>
                </c:pt>
                <c:pt idx="13">
                  <c:v>83.06</c:v>
                </c:pt>
                <c:pt idx="14">
                  <c:v>85.37</c:v>
                </c:pt>
                <c:pt idx="15">
                  <c:v>87.68</c:v>
                </c:pt>
                <c:pt idx="16">
                  <c:v>89.990000000000009</c:v>
                </c:pt>
                <c:pt idx="17">
                  <c:v>92.3</c:v>
                </c:pt>
                <c:pt idx="18">
                  <c:v>94.61</c:v>
                </c:pt>
                <c:pt idx="19">
                  <c:v>96.92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CE-4A35-8130-6513D672E3AD}"/>
            </c:ext>
          </c:extLst>
        </c:ser>
        <c:ser>
          <c:idx val="1"/>
          <c:order val="1"/>
          <c:tx>
            <c:v>prestg10_male</c:v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'Hoja2 (2)'!$S$3:$S$22</c:f>
              <c:numCache>
                <c:formatCode>General</c:formatCode>
                <c:ptCount val="20"/>
                <c:pt idx="0">
                  <c:v>15.98</c:v>
                </c:pt>
                <c:pt idx="1">
                  <c:v>18.189999999999998</c:v>
                </c:pt>
                <c:pt idx="2">
                  <c:v>20.399999999999999</c:v>
                </c:pt>
                <c:pt idx="3">
                  <c:v>22.61</c:v>
                </c:pt>
                <c:pt idx="4">
                  <c:v>24.82</c:v>
                </c:pt>
                <c:pt idx="5">
                  <c:v>27.03</c:v>
                </c:pt>
                <c:pt idx="6">
                  <c:v>29.24</c:v>
                </c:pt>
                <c:pt idx="7">
                  <c:v>31.45</c:v>
                </c:pt>
                <c:pt idx="8">
                  <c:v>33.659999999999997</c:v>
                </c:pt>
                <c:pt idx="9">
                  <c:v>35.870000000000005</c:v>
                </c:pt>
                <c:pt idx="10">
                  <c:v>38.08</c:v>
                </c:pt>
                <c:pt idx="11">
                  <c:v>40.29</c:v>
                </c:pt>
                <c:pt idx="12">
                  <c:v>42.5</c:v>
                </c:pt>
                <c:pt idx="13">
                  <c:v>44.709999999999994</c:v>
                </c:pt>
                <c:pt idx="14">
                  <c:v>46.92</c:v>
                </c:pt>
                <c:pt idx="15">
                  <c:v>49.129999999999995</c:v>
                </c:pt>
                <c:pt idx="16">
                  <c:v>51.34</c:v>
                </c:pt>
                <c:pt idx="17">
                  <c:v>53.55</c:v>
                </c:pt>
                <c:pt idx="18">
                  <c:v>55.760000000000005</c:v>
                </c:pt>
                <c:pt idx="19">
                  <c:v>57.97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E-4A35-8130-6513D672E3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26451808"/>
        <c:axId val="1828721648"/>
      </c:lineChart>
      <c:catAx>
        <c:axId val="182645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8721648"/>
        <c:crosses val="autoZero"/>
        <c:auto val="1"/>
        <c:lblAlgn val="ctr"/>
        <c:lblOffset val="100"/>
        <c:noMultiLvlLbl val="0"/>
      </c:catAx>
      <c:valAx>
        <c:axId val="182872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645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v>prestg10_female</c:v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'6.3. GRAPH'!$E$3:$E$22</c:f>
              <c:numCache>
                <c:formatCode>General</c:formatCode>
                <c:ptCount val="20"/>
                <c:pt idx="0">
                  <c:v>13.649999999999999</c:v>
                </c:pt>
                <c:pt idx="1">
                  <c:v>16.02</c:v>
                </c:pt>
                <c:pt idx="2">
                  <c:v>18.39</c:v>
                </c:pt>
                <c:pt idx="3">
                  <c:v>20.759999999999998</c:v>
                </c:pt>
                <c:pt idx="4">
                  <c:v>23.130000000000003</c:v>
                </c:pt>
                <c:pt idx="5">
                  <c:v>25.5</c:v>
                </c:pt>
                <c:pt idx="6">
                  <c:v>27.869999999999997</c:v>
                </c:pt>
                <c:pt idx="7">
                  <c:v>30.240000000000002</c:v>
                </c:pt>
                <c:pt idx="8">
                  <c:v>32.61</c:v>
                </c:pt>
                <c:pt idx="9">
                  <c:v>34.980000000000004</c:v>
                </c:pt>
                <c:pt idx="10">
                  <c:v>37.35</c:v>
                </c:pt>
                <c:pt idx="11">
                  <c:v>39.72</c:v>
                </c:pt>
                <c:pt idx="12">
                  <c:v>42.09</c:v>
                </c:pt>
                <c:pt idx="13">
                  <c:v>44.46</c:v>
                </c:pt>
                <c:pt idx="14">
                  <c:v>46.830000000000005</c:v>
                </c:pt>
                <c:pt idx="15">
                  <c:v>49.2</c:v>
                </c:pt>
                <c:pt idx="16">
                  <c:v>51.57</c:v>
                </c:pt>
                <c:pt idx="17">
                  <c:v>53.940000000000005</c:v>
                </c:pt>
                <c:pt idx="18">
                  <c:v>56.31</c:v>
                </c:pt>
                <c:pt idx="19">
                  <c:v>58.680000000000007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EC-4E50-B401-01DEC1EA453F}"/>
            </c:ext>
          </c:extLst>
        </c:ser>
        <c:ser>
          <c:idx val="1"/>
          <c:order val="1"/>
          <c:tx>
            <c:v>prestg10_male</c:v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'6.3. GRAPH'!$J$3:$J$22</c:f>
              <c:numCache>
                <c:formatCode>General</c:formatCode>
                <c:ptCount val="20"/>
                <c:pt idx="0">
                  <c:v>15.98</c:v>
                </c:pt>
                <c:pt idx="1">
                  <c:v>18.189999999999998</c:v>
                </c:pt>
                <c:pt idx="2">
                  <c:v>20.399999999999999</c:v>
                </c:pt>
                <c:pt idx="3">
                  <c:v>22.61</c:v>
                </c:pt>
                <c:pt idx="4">
                  <c:v>24.82</c:v>
                </c:pt>
                <c:pt idx="5">
                  <c:v>27.03</c:v>
                </c:pt>
                <c:pt idx="6">
                  <c:v>29.24</c:v>
                </c:pt>
                <c:pt idx="7">
                  <c:v>31.45</c:v>
                </c:pt>
                <c:pt idx="8">
                  <c:v>33.659999999999997</c:v>
                </c:pt>
                <c:pt idx="9">
                  <c:v>35.870000000000005</c:v>
                </c:pt>
                <c:pt idx="10">
                  <c:v>38.08</c:v>
                </c:pt>
                <c:pt idx="11">
                  <c:v>40.29</c:v>
                </c:pt>
                <c:pt idx="12">
                  <c:v>42.5</c:v>
                </c:pt>
                <c:pt idx="13">
                  <c:v>44.709999999999994</c:v>
                </c:pt>
                <c:pt idx="14">
                  <c:v>46.92</c:v>
                </c:pt>
                <c:pt idx="15">
                  <c:v>49.129999999999995</c:v>
                </c:pt>
                <c:pt idx="16">
                  <c:v>51.34</c:v>
                </c:pt>
                <c:pt idx="17">
                  <c:v>53.55</c:v>
                </c:pt>
                <c:pt idx="18">
                  <c:v>55.760000000000005</c:v>
                </c:pt>
                <c:pt idx="19">
                  <c:v>57.97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EC-4E50-B401-01DEC1EA45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26451808"/>
        <c:axId val="1828721648"/>
      </c:lineChart>
      <c:catAx>
        <c:axId val="182645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8721648"/>
        <c:crosses val="autoZero"/>
        <c:auto val="1"/>
        <c:lblAlgn val="ctr"/>
        <c:lblOffset val="100"/>
        <c:noMultiLvlLbl val="0"/>
      </c:catAx>
      <c:valAx>
        <c:axId val="182872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645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220980</xdr:colOff>
      <xdr:row>23</xdr:row>
      <xdr:rowOff>53340</xdr:rowOff>
    </xdr:from>
    <xdr:to>
      <xdr:col>19</xdr:col>
      <xdr:colOff>259080</xdr:colOff>
      <xdr:row>53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59F26A-F3F2-0384-1E6C-79DC83125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220980</xdr:colOff>
      <xdr:row>23</xdr:row>
      <xdr:rowOff>53340</xdr:rowOff>
    </xdr:from>
    <xdr:to>
      <xdr:col>19</xdr:col>
      <xdr:colOff>259080</xdr:colOff>
      <xdr:row>53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ABB07A-4397-436A-8540-D79117E0B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23</xdr:row>
      <xdr:rowOff>53340</xdr:rowOff>
    </xdr:from>
    <xdr:to>
      <xdr:col>10</xdr:col>
      <xdr:colOff>259080</xdr:colOff>
      <xdr:row>53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4BCCE1-0A66-4DE1-87A9-CDA95EA23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7E2F-94D4-42F1-88F5-DAAC49B06D3E}">
  <dimension ref="A1:E29"/>
  <sheetViews>
    <sheetView workbookViewId="0">
      <selection activeCell="B5" sqref="B5"/>
    </sheetView>
  </sheetViews>
  <sheetFormatPr baseColWidth="10" defaultRowHeight="14.4"/>
  <sheetData>
    <row r="1" spans="1:5">
      <c r="A1" t="s">
        <v>0</v>
      </c>
      <c r="B1" t="s">
        <v>1</v>
      </c>
      <c r="C1" t="s">
        <v>2</v>
      </c>
      <c r="D1" t="s">
        <v>3</v>
      </c>
    </row>
    <row r="3" spans="1:5">
      <c r="A3" t="s">
        <v>4</v>
      </c>
      <c r="C3">
        <v>1.26</v>
      </c>
      <c r="D3">
        <v>0.20699999999999999</v>
      </c>
      <c r="E3" t="s">
        <v>5</v>
      </c>
    </row>
    <row r="5" spans="1:5">
      <c r="A5" t="s">
        <v>6</v>
      </c>
    </row>
    <row r="6" spans="1:5">
      <c r="A6" t="s">
        <v>7</v>
      </c>
      <c r="C6">
        <v>0.05</v>
      </c>
      <c r="D6">
        <v>0.96299999999999997</v>
      </c>
      <c r="E6" t="s">
        <v>8</v>
      </c>
    </row>
    <row r="7" spans="1:5">
      <c r="A7" t="s">
        <v>9</v>
      </c>
      <c r="C7">
        <v>1.35</v>
      </c>
      <c r="D7">
        <v>0.17599999999999999</v>
      </c>
      <c r="E7" t="s">
        <v>10</v>
      </c>
    </row>
    <row r="8" spans="1:5">
      <c r="A8" t="s">
        <v>11</v>
      </c>
      <c r="C8">
        <v>1.83</v>
      </c>
      <c r="D8">
        <v>6.8000000000000005E-2</v>
      </c>
      <c r="E8" t="s">
        <v>12</v>
      </c>
    </row>
    <row r="9" spans="1:5">
      <c r="A9" t="s">
        <v>13</v>
      </c>
      <c r="C9">
        <v>0.62</v>
      </c>
      <c r="D9">
        <v>0.53700000000000003</v>
      </c>
      <c r="E9" t="s">
        <v>14</v>
      </c>
    </row>
    <row r="10" spans="1:5">
      <c r="A10" t="s">
        <v>15</v>
      </c>
      <c r="C10">
        <v>0.7</v>
      </c>
      <c r="D10">
        <v>0.48299999999999998</v>
      </c>
      <c r="E10" t="s">
        <v>16</v>
      </c>
    </row>
    <row r="11" spans="1:5">
      <c r="A11" t="s">
        <v>17</v>
      </c>
      <c r="C11">
        <v>1.36</v>
      </c>
      <c r="D11">
        <v>0.17499999999999999</v>
      </c>
      <c r="E11" t="s">
        <v>18</v>
      </c>
    </row>
    <row r="12" spans="1:5">
      <c r="A12" t="s">
        <v>19</v>
      </c>
      <c r="C12">
        <v>2.25</v>
      </c>
      <c r="D12">
        <v>2.4E-2</v>
      </c>
      <c r="E12">
        <f>-35.59471    -2.44775</f>
        <v>-38.042459999999998</v>
      </c>
    </row>
    <row r="13" spans="1:5">
      <c r="A13" t="s">
        <v>20</v>
      </c>
      <c r="C13">
        <v>1.64</v>
      </c>
      <c r="D13">
        <v>0.10100000000000001</v>
      </c>
      <c r="E13" t="s">
        <v>21</v>
      </c>
    </row>
    <row r="14" spans="1:5">
      <c r="A14" t="s">
        <v>22</v>
      </c>
      <c r="C14">
        <v>2.0699999999999998</v>
      </c>
      <c r="D14">
        <v>3.9E-2</v>
      </c>
      <c r="E14">
        <f>-26.83702   -0.7253542</f>
        <v>-27.562374200000001</v>
      </c>
    </row>
    <row r="15" spans="1:5">
      <c r="A15" t="s">
        <v>23</v>
      </c>
      <c r="C15">
        <v>2.83</v>
      </c>
      <c r="D15">
        <v>5.0000000000000001E-3</v>
      </c>
      <c r="E15">
        <f>-28.88178   -5.237611</f>
        <v>-34.119391</v>
      </c>
    </row>
    <row r="16" spans="1:5">
      <c r="A16" t="s">
        <v>24</v>
      </c>
      <c r="C16">
        <v>3.01</v>
      </c>
      <c r="D16">
        <v>3.0000000000000001E-3</v>
      </c>
      <c r="E16">
        <f>-26.91966   -5.702673</f>
        <v>-32.622332999999998</v>
      </c>
    </row>
    <row r="17" spans="1:5">
      <c r="A17" t="s">
        <v>25</v>
      </c>
      <c r="C17">
        <v>3.03</v>
      </c>
      <c r="D17">
        <v>2E-3</v>
      </c>
      <c r="E17">
        <f>-23.597   -5.057684</f>
        <v>-28.654684000000003</v>
      </c>
    </row>
    <row r="18" spans="1:5">
      <c r="A18" t="s">
        <v>26</v>
      </c>
      <c r="C18">
        <v>3.08</v>
      </c>
      <c r="D18">
        <v>2E-3</v>
      </c>
      <c r="E18">
        <f>-21.21377   -4.722694</f>
        <v>-25.936464000000001</v>
      </c>
    </row>
    <row r="19" spans="1:5">
      <c r="A19" t="s">
        <v>27</v>
      </c>
      <c r="C19">
        <v>3.1</v>
      </c>
      <c r="D19">
        <v>2E-3</v>
      </c>
      <c r="E19">
        <f>-18.2821   -4.119703</f>
        <v>-22.401803000000001</v>
      </c>
    </row>
    <row r="20" spans="1:5">
      <c r="A20" t="s">
        <v>28</v>
      </c>
      <c r="C20">
        <v>3.63</v>
      </c>
      <c r="D20">
        <v>0</v>
      </c>
      <c r="E20">
        <f>-17.55796   -5.247316</f>
        <v>-22.805275999999999</v>
      </c>
    </row>
    <row r="21" spans="1:5">
      <c r="A21" t="s">
        <v>29</v>
      </c>
      <c r="C21">
        <v>2.15</v>
      </c>
      <c r="D21">
        <v>3.2000000000000001E-2</v>
      </c>
      <c r="E21">
        <f>-10.29897   -0.4721223</f>
        <v>-10.771092300000001</v>
      </c>
    </row>
    <row r="22" spans="1:5">
      <c r="A22" t="s">
        <v>30</v>
      </c>
      <c r="C22">
        <v>1.48</v>
      </c>
      <c r="D22">
        <v>0.13900000000000001</v>
      </c>
      <c r="E22" t="s">
        <v>31</v>
      </c>
    </row>
    <row r="23" spans="1:5">
      <c r="A23" t="s">
        <v>32</v>
      </c>
      <c r="C23">
        <v>0.79</v>
      </c>
      <c r="D23">
        <v>0.43</v>
      </c>
      <c r="E23" t="s">
        <v>33</v>
      </c>
    </row>
    <row r="24" spans="1:5">
      <c r="A24" t="s">
        <v>34</v>
      </c>
      <c r="C24">
        <v>1.6</v>
      </c>
      <c r="D24">
        <v>0.11</v>
      </c>
      <c r="E24" t="s">
        <v>35</v>
      </c>
    </row>
    <row r="25" spans="1:5">
      <c r="A25" t="s">
        <v>36</v>
      </c>
    </row>
    <row r="27" spans="1:5">
      <c r="A27" t="s">
        <v>37</v>
      </c>
      <c r="C27">
        <v>0.68</v>
      </c>
      <c r="D27">
        <v>0.498</v>
      </c>
      <c r="E27" t="s">
        <v>38</v>
      </c>
    </row>
    <row r="28" spans="1:5">
      <c r="A28" t="s">
        <v>39</v>
      </c>
    </row>
    <row r="29" spans="1:5">
      <c r="A29" t="s">
        <v>40</v>
      </c>
      <c r="C29">
        <v>3.77</v>
      </c>
      <c r="D29">
        <v>0</v>
      </c>
      <c r="E2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8CB1-6A1E-4725-9E7B-F4E7A814A00C}">
  <dimension ref="A1:J72"/>
  <sheetViews>
    <sheetView topLeftCell="A35" workbookViewId="0">
      <selection activeCell="L48" sqref="L48"/>
    </sheetView>
  </sheetViews>
  <sheetFormatPr baseColWidth="10" defaultRowHeight="14.4"/>
  <sheetData>
    <row r="1" spans="1:8">
      <c r="A1" s="5"/>
      <c r="B1" s="11" t="s">
        <v>88</v>
      </c>
      <c r="C1" s="11"/>
      <c r="D1" s="11"/>
      <c r="E1" s="11"/>
      <c r="F1" s="11" t="s">
        <v>89</v>
      </c>
      <c r="G1" s="11"/>
      <c r="H1" s="11"/>
    </row>
    <row r="2" spans="1:8">
      <c r="A2" s="1"/>
      <c r="B2" s="6" t="s">
        <v>87</v>
      </c>
      <c r="C2" s="6" t="s">
        <v>42</v>
      </c>
      <c r="D2" s="6" t="s">
        <v>2</v>
      </c>
      <c r="E2" s="6"/>
      <c r="F2" s="6" t="s">
        <v>87</v>
      </c>
      <c r="G2" s="6" t="s">
        <v>42</v>
      </c>
      <c r="H2" s="6" t="s">
        <v>2</v>
      </c>
    </row>
    <row r="3" spans="1:8">
      <c r="A3" s="5" t="s">
        <v>43</v>
      </c>
      <c r="B3" s="5">
        <v>0.74039529999999998</v>
      </c>
      <c r="C3" s="5">
        <v>0.58626920000000005</v>
      </c>
      <c r="D3" s="5">
        <v>0.20699999999999999</v>
      </c>
      <c r="E3" s="5" t="s">
        <v>43</v>
      </c>
      <c r="F3" s="5">
        <v>0.75263159999999996</v>
      </c>
      <c r="G3" s="5">
        <v>0.58853880000000003</v>
      </c>
      <c r="H3" s="5">
        <v>0.20100000000000001</v>
      </c>
    </row>
    <row r="4" spans="1:8">
      <c r="A4" s="5" t="s">
        <v>47</v>
      </c>
      <c r="B4" s="5">
        <v>-0.74039529999999998</v>
      </c>
      <c r="C4" s="5">
        <v>16.114280000000001</v>
      </c>
      <c r="D4" s="5">
        <v>0.96299999999999997</v>
      </c>
      <c r="E4" s="5" t="s">
        <v>47</v>
      </c>
      <c r="F4" s="5">
        <v>-0.75263159999999996</v>
      </c>
      <c r="G4" s="5">
        <v>16.129940000000001</v>
      </c>
      <c r="H4" s="5">
        <v>0.96299999999999997</v>
      </c>
    </row>
    <row r="5" spans="1:8">
      <c r="A5" s="5" t="s">
        <v>48</v>
      </c>
      <c r="B5" s="5">
        <v>-18.119260000000001</v>
      </c>
      <c r="C5" s="5">
        <v>13.373200000000001</v>
      </c>
      <c r="D5" s="5">
        <v>0.17599999999999999</v>
      </c>
      <c r="E5" s="5" t="s">
        <v>48</v>
      </c>
      <c r="F5" s="5">
        <v>-18.50526</v>
      </c>
      <c r="G5" s="5">
        <v>15.733370000000001</v>
      </c>
      <c r="H5" s="5">
        <v>0.24</v>
      </c>
    </row>
    <row r="6" spans="1:8">
      <c r="A6" s="5" t="s">
        <v>49</v>
      </c>
      <c r="B6" s="5">
        <v>-19.644269999999999</v>
      </c>
      <c r="C6" s="5">
        <v>10.75854</v>
      </c>
      <c r="D6" s="5">
        <v>6.8000000000000005E-2</v>
      </c>
      <c r="E6" s="5" t="s">
        <v>49</v>
      </c>
      <c r="F6" s="5">
        <v>-18.25789</v>
      </c>
      <c r="G6" s="5">
        <v>12.017799999999999</v>
      </c>
      <c r="H6" s="5">
        <v>0.129</v>
      </c>
    </row>
    <row r="7" spans="1:8">
      <c r="A7" s="5" t="s">
        <v>50</v>
      </c>
      <c r="B7" s="5">
        <v>-6.4795340000000001</v>
      </c>
      <c r="C7" s="5">
        <v>10.49729</v>
      </c>
      <c r="D7" s="5">
        <v>0.53700000000000003</v>
      </c>
      <c r="E7" s="5" t="s">
        <v>50</v>
      </c>
      <c r="F7" s="5">
        <v>-10.010529999999999</v>
      </c>
      <c r="G7" s="5">
        <v>12.488759999999999</v>
      </c>
      <c r="H7" s="5">
        <v>0.42299999999999999</v>
      </c>
    </row>
    <row r="8" spans="1:8">
      <c r="A8" s="5" t="s">
        <v>51</v>
      </c>
      <c r="B8" s="5">
        <v>-7.157362</v>
      </c>
      <c r="C8" s="5">
        <v>10.204549999999999</v>
      </c>
      <c r="D8" s="5">
        <v>0.48299999999999998</v>
      </c>
      <c r="E8" s="5" t="s">
        <v>51</v>
      </c>
      <c r="F8" s="5">
        <v>-3.0131579999999998</v>
      </c>
      <c r="G8" s="5">
        <v>10.546250000000001</v>
      </c>
      <c r="H8" s="5">
        <v>0.77500000000000002</v>
      </c>
    </row>
    <row r="9" spans="1:8">
      <c r="A9" s="5" t="s">
        <v>52</v>
      </c>
      <c r="B9" s="5">
        <v>-11.644679999999999</v>
      </c>
      <c r="C9" s="5">
        <v>8.5917300000000001</v>
      </c>
      <c r="D9" s="5">
        <v>0.17499999999999999</v>
      </c>
      <c r="E9" s="5" t="s">
        <v>52</v>
      </c>
      <c r="F9" s="5">
        <v>-9.6269010000000002</v>
      </c>
      <c r="G9" s="5">
        <v>9.0755149999999993</v>
      </c>
      <c r="H9" s="5">
        <v>0.28899999999999998</v>
      </c>
    </row>
    <row r="10" spans="1:8">
      <c r="A10" s="5" t="s">
        <v>53</v>
      </c>
      <c r="B10" s="5">
        <v>-19.021229999999999</v>
      </c>
      <c r="C10" s="5">
        <v>8.4528929999999995</v>
      </c>
      <c r="D10" s="5">
        <v>2.4E-2</v>
      </c>
      <c r="E10" s="5" t="s">
        <v>53</v>
      </c>
      <c r="F10" s="5">
        <v>-22.668420000000001</v>
      </c>
      <c r="G10" s="5">
        <v>9.2384210000000007</v>
      </c>
      <c r="H10" s="5">
        <v>1.4E-2</v>
      </c>
    </row>
    <row r="11" spans="1:8">
      <c r="A11" s="5" t="s">
        <v>54</v>
      </c>
      <c r="B11" s="5">
        <v>-11.964040000000001</v>
      </c>
      <c r="C11" s="5">
        <v>7.2939129999999999</v>
      </c>
      <c r="D11" s="5">
        <v>0.10100000000000001</v>
      </c>
      <c r="E11" s="5" t="s">
        <v>54</v>
      </c>
      <c r="F11" s="5">
        <v>-12.28421</v>
      </c>
      <c r="G11" s="5">
        <v>7.5310040000000003</v>
      </c>
      <c r="H11" s="5">
        <v>0.10299999999999999</v>
      </c>
    </row>
    <row r="12" spans="1:8">
      <c r="A12" s="5" t="s">
        <v>55</v>
      </c>
      <c r="B12" s="5">
        <v>-13.78119</v>
      </c>
      <c r="C12" s="5">
        <v>6.6588050000000001</v>
      </c>
      <c r="D12" s="5">
        <v>3.9E-2</v>
      </c>
      <c r="E12" s="5" t="s">
        <v>55</v>
      </c>
      <c r="F12" s="5">
        <v>-14.69035</v>
      </c>
      <c r="G12" s="5">
        <v>6.8869290000000003</v>
      </c>
      <c r="H12" s="5">
        <v>3.3000000000000002E-2</v>
      </c>
    </row>
    <row r="13" spans="1:8">
      <c r="A13" s="5" t="s">
        <v>56</v>
      </c>
      <c r="B13" s="5">
        <v>-17.059699999999999</v>
      </c>
      <c r="C13" s="5">
        <v>6.0295620000000003</v>
      </c>
      <c r="D13" s="5">
        <v>5.0000000000000001E-3</v>
      </c>
      <c r="E13" s="5" t="s">
        <v>56</v>
      </c>
      <c r="F13" s="5">
        <v>-17.870069999999998</v>
      </c>
      <c r="G13" s="5">
        <v>6.2378910000000003</v>
      </c>
      <c r="H13" s="5">
        <v>4.0000000000000001E-3</v>
      </c>
    </row>
    <row r="14" spans="1:8">
      <c r="A14" s="5" t="s">
        <v>57</v>
      </c>
      <c r="B14" s="5">
        <v>-16.311170000000001</v>
      </c>
      <c r="C14" s="5">
        <v>5.4105999999999996</v>
      </c>
      <c r="D14" s="5">
        <v>3.0000000000000001E-3</v>
      </c>
      <c r="E14" s="5" t="s">
        <v>57</v>
      </c>
      <c r="F14" s="5">
        <v>-17.188040000000001</v>
      </c>
      <c r="G14" s="5">
        <v>5.5428290000000002</v>
      </c>
      <c r="H14" s="5">
        <v>2E-3</v>
      </c>
    </row>
    <row r="15" spans="1:8">
      <c r="A15" s="5" t="s">
        <v>58</v>
      </c>
      <c r="B15" s="5">
        <v>-14.32734</v>
      </c>
      <c r="C15" s="5">
        <v>4.7277579999999997</v>
      </c>
      <c r="D15" s="5">
        <v>2E-3</v>
      </c>
      <c r="E15" s="5" t="s">
        <v>58</v>
      </c>
      <c r="F15" s="5">
        <v>-14.812620000000001</v>
      </c>
      <c r="G15" s="5">
        <v>4.7787819999999996</v>
      </c>
      <c r="H15" s="5">
        <v>2E-3</v>
      </c>
    </row>
    <row r="16" spans="1:8">
      <c r="A16" s="5" t="s">
        <v>59</v>
      </c>
      <c r="B16" s="5">
        <v>-12.96823</v>
      </c>
      <c r="C16" s="5">
        <v>4.2054320000000001</v>
      </c>
      <c r="D16" s="5">
        <v>2E-3</v>
      </c>
      <c r="E16" s="5" t="s">
        <v>59</v>
      </c>
      <c r="F16" s="5">
        <v>-13.3346</v>
      </c>
      <c r="G16" s="5">
        <v>4.3095730000000003</v>
      </c>
      <c r="H16" s="5">
        <v>2E-3</v>
      </c>
    </row>
    <row r="17" spans="1:8">
      <c r="A17" s="5" t="s">
        <v>60</v>
      </c>
      <c r="B17" s="5">
        <v>-11.200900000000001</v>
      </c>
      <c r="C17" s="5">
        <v>3.6115889999999999</v>
      </c>
      <c r="D17" s="5">
        <v>2E-3</v>
      </c>
      <c r="E17" s="5" t="s">
        <v>60</v>
      </c>
      <c r="F17" s="5">
        <v>-11.60059</v>
      </c>
      <c r="G17" s="5">
        <v>3.7059660000000001</v>
      </c>
      <c r="H17" s="5">
        <v>2E-3</v>
      </c>
    </row>
    <row r="18" spans="1:8">
      <c r="A18" s="5" t="s">
        <v>61</v>
      </c>
      <c r="B18" s="5">
        <v>-11.40264</v>
      </c>
      <c r="C18" s="5">
        <v>3.1393680000000002</v>
      </c>
      <c r="D18" s="5">
        <v>0</v>
      </c>
      <c r="E18" s="5" t="s">
        <v>61</v>
      </c>
      <c r="F18" s="5">
        <v>-10.265940000000001</v>
      </c>
      <c r="G18" s="5">
        <v>3.3418519999999998</v>
      </c>
      <c r="H18" s="5">
        <v>2E-3</v>
      </c>
    </row>
    <row r="19" spans="1:8">
      <c r="A19" s="5" t="s">
        <v>62</v>
      </c>
      <c r="B19" s="5">
        <v>-5.385548</v>
      </c>
      <c r="C19" s="5">
        <v>2.5059710000000002</v>
      </c>
      <c r="D19" s="5">
        <v>3.2000000000000001E-2</v>
      </c>
      <c r="E19" s="5" t="s">
        <v>62</v>
      </c>
      <c r="F19" s="5">
        <v>-5.0173120000000004</v>
      </c>
      <c r="G19" s="5">
        <v>2.645448</v>
      </c>
      <c r="H19" s="5">
        <v>5.8000000000000003E-2</v>
      </c>
    </row>
    <row r="20" spans="1:8">
      <c r="A20" s="5" t="s">
        <v>63</v>
      </c>
      <c r="B20" s="5">
        <v>-3.1872129999999999</v>
      </c>
      <c r="C20" s="5">
        <v>2.152876</v>
      </c>
      <c r="D20" s="5">
        <v>0.13900000000000001</v>
      </c>
      <c r="E20" s="5" t="s">
        <v>63</v>
      </c>
      <c r="F20" s="5">
        <v>-4.0584730000000002</v>
      </c>
      <c r="G20" s="5">
        <v>2.424814</v>
      </c>
      <c r="H20" s="5">
        <v>9.4E-2</v>
      </c>
    </row>
    <row r="21" spans="1:8">
      <c r="A21" s="5" t="s">
        <v>64</v>
      </c>
      <c r="B21" s="5">
        <v>-1.3248329999999999</v>
      </c>
      <c r="C21" s="5">
        <v>1.6790210000000001</v>
      </c>
      <c r="D21" s="5">
        <v>0.43</v>
      </c>
      <c r="E21" s="5" t="s">
        <v>64</v>
      </c>
      <c r="F21" s="5">
        <v>-1.102924</v>
      </c>
      <c r="G21" s="5">
        <v>1.9984550000000001</v>
      </c>
      <c r="H21" s="5">
        <v>0.58099999999999996</v>
      </c>
    </row>
    <row r="22" spans="1:8">
      <c r="A22" s="5" t="s">
        <v>65</v>
      </c>
      <c r="B22" s="5">
        <v>-2.7466059999999999</v>
      </c>
      <c r="C22" s="5">
        <v>1.7200549999999999</v>
      </c>
      <c r="D22" s="5">
        <v>0.11</v>
      </c>
      <c r="E22" s="5" t="s">
        <v>65</v>
      </c>
      <c r="F22" s="5">
        <v>-3.4904760000000001</v>
      </c>
      <c r="G22" s="5">
        <v>2.285126</v>
      </c>
      <c r="H22" s="5">
        <v>0.127</v>
      </c>
    </row>
    <row r="23" spans="1:8">
      <c r="A23" s="5" t="s">
        <v>66</v>
      </c>
      <c r="B23" s="5"/>
      <c r="C23" s="5"/>
      <c r="D23" s="5"/>
      <c r="E23" s="5" t="s">
        <v>66</v>
      </c>
      <c r="F23" s="5"/>
      <c r="G23" s="5"/>
      <c r="H23" s="5"/>
    </row>
    <row r="24" spans="1:8">
      <c r="A24" s="5" t="s">
        <v>44</v>
      </c>
      <c r="B24" s="5">
        <v>0.27692919999999999</v>
      </c>
      <c r="C24" s="5">
        <v>0.40817439999999999</v>
      </c>
      <c r="D24" s="5">
        <v>0.498</v>
      </c>
      <c r="E24" s="5" t="s">
        <v>44</v>
      </c>
      <c r="F24" s="5">
        <v>1</v>
      </c>
      <c r="G24" s="5">
        <v>16.537949999999999</v>
      </c>
      <c r="H24" s="5">
        <v>0.95199999999999996</v>
      </c>
    </row>
    <row r="25" spans="1:8">
      <c r="A25" s="5" t="s">
        <v>45</v>
      </c>
      <c r="B25" s="5"/>
      <c r="C25" s="5"/>
      <c r="D25" s="5"/>
      <c r="E25" s="5" t="s">
        <v>67</v>
      </c>
      <c r="F25" s="5"/>
      <c r="G25" s="5"/>
      <c r="H25" s="5"/>
    </row>
    <row r="26" spans="1:8">
      <c r="A26" s="5" t="s">
        <v>46</v>
      </c>
      <c r="B26" s="5">
        <v>44</v>
      </c>
      <c r="C26" s="5">
        <v>11.682779999999999</v>
      </c>
      <c r="D26" s="5">
        <v>0</v>
      </c>
      <c r="E26" s="5" t="s">
        <v>68</v>
      </c>
      <c r="F26" s="5"/>
      <c r="G26" s="5"/>
      <c r="H26" s="5"/>
    </row>
    <row r="27" spans="1:8">
      <c r="A27" s="5"/>
      <c r="B27" s="5"/>
      <c r="C27" s="5"/>
      <c r="D27" s="5"/>
      <c r="E27" s="5" t="s">
        <v>69</v>
      </c>
      <c r="F27" s="5">
        <v>-3</v>
      </c>
      <c r="G27" s="5">
        <v>18.612839999999998</v>
      </c>
      <c r="H27" s="5">
        <v>0.872</v>
      </c>
    </row>
    <row r="28" spans="1:8">
      <c r="A28" s="5"/>
      <c r="B28" s="5"/>
      <c r="C28" s="5"/>
      <c r="D28" s="5"/>
      <c r="E28" s="5" t="s">
        <v>70</v>
      </c>
      <c r="F28" s="5">
        <v>4.5</v>
      </c>
      <c r="G28" s="5">
        <v>19.39246</v>
      </c>
      <c r="H28" s="5">
        <v>0.81699999999999995</v>
      </c>
    </row>
    <row r="29" spans="1:8">
      <c r="A29" s="5"/>
      <c r="B29" s="5"/>
      <c r="C29" s="5"/>
      <c r="D29" s="5"/>
      <c r="E29" s="5" t="s">
        <v>71</v>
      </c>
      <c r="F29" s="5">
        <v>-21.75</v>
      </c>
      <c r="G29" s="5">
        <v>21.08183</v>
      </c>
      <c r="H29" s="5">
        <v>0.30199999999999999</v>
      </c>
    </row>
    <row r="30" spans="1:8">
      <c r="A30" s="5"/>
      <c r="B30" s="5"/>
      <c r="C30" s="5"/>
      <c r="D30" s="5"/>
      <c r="E30" s="5" t="s">
        <v>72</v>
      </c>
      <c r="F30" s="5">
        <v>-4.5252530000000002</v>
      </c>
      <c r="G30" s="5">
        <v>17.353110000000001</v>
      </c>
      <c r="H30" s="5">
        <v>0.79400000000000004</v>
      </c>
    </row>
    <row r="31" spans="1:8">
      <c r="A31" s="5"/>
      <c r="B31" s="5"/>
      <c r="C31" s="5"/>
      <c r="D31" s="5"/>
      <c r="E31" s="5" t="s">
        <v>73</v>
      </c>
      <c r="F31" s="5">
        <v>6.4</v>
      </c>
      <c r="G31" s="5">
        <v>18.116409999999998</v>
      </c>
      <c r="H31" s="5">
        <v>0.72399999999999998</v>
      </c>
    </row>
    <row r="32" spans="1:8">
      <c r="A32" s="5"/>
      <c r="B32" s="5"/>
      <c r="C32" s="5"/>
      <c r="D32" s="5"/>
      <c r="E32" s="5" t="s">
        <v>74</v>
      </c>
      <c r="F32" s="5">
        <v>-0.2368421</v>
      </c>
      <c r="G32" s="5">
        <v>17.007300000000001</v>
      </c>
      <c r="H32" s="5">
        <v>0.98899999999999999</v>
      </c>
    </row>
    <row r="33" spans="1:10">
      <c r="A33" s="5"/>
      <c r="B33" s="5"/>
      <c r="C33" s="5"/>
      <c r="D33" s="5"/>
      <c r="E33" s="5" t="s">
        <v>75</v>
      </c>
      <c r="F33" s="5">
        <v>0.875</v>
      </c>
      <c r="G33" s="5">
        <v>16.878969999999999</v>
      </c>
      <c r="H33" s="5">
        <v>0.95899999999999996</v>
      </c>
    </row>
    <row r="34" spans="1:10">
      <c r="A34" s="5"/>
      <c r="B34" s="5"/>
      <c r="C34" s="5"/>
      <c r="D34" s="5"/>
      <c r="E34" s="5" t="s">
        <v>76</v>
      </c>
      <c r="F34" s="5">
        <v>0.55996619999999997</v>
      </c>
      <c r="G34" s="5">
        <v>16.777159999999999</v>
      </c>
      <c r="H34" s="5">
        <v>0.97299999999999998</v>
      </c>
    </row>
    <row r="35" spans="1:10">
      <c r="A35" s="5"/>
      <c r="B35" s="5"/>
      <c r="C35" s="5"/>
      <c r="D35" s="5"/>
      <c r="E35" s="5" t="s">
        <v>77</v>
      </c>
      <c r="F35" s="5">
        <v>0.88781429999999995</v>
      </c>
      <c r="G35" s="5">
        <v>16.700289999999999</v>
      </c>
      <c r="H35" s="5">
        <v>0.95799999999999996</v>
      </c>
    </row>
    <row r="36" spans="1:10">
      <c r="A36" s="5"/>
      <c r="B36" s="5"/>
      <c r="C36" s="5"/>
      <c r="D36" s="5"/>
      <c r="E36" s="5" t="s">
        <v>78</v>
      </c>
      <c r="F36" s="5">
        <v>-1.35161E-2</v>
      </c>
      <c r="G36" s="5">
        <v>16.557500000000001</v>
      </c>
      <c r="H36" s="5">
        <v>0.999</v>
      </c>
    </row>
    <row r="37" spans="1:10">
      <c r="A37" s="5"/>
      <c r="B37" s="5"/>
      <c r="C37" s="5"/>
      <c r="D37" s="5"/>
      <c r="E37" s="5" t="s">
        <v>79</v>
      </c>
      <c r="F37" s="5">
        <v>-0.28721920000000001</v>
      </c>
      <c r="G37" s="5">
        <v>16.6052</v>
      </c>
      <c r="H37" s="5">
        <v>0.98599999999999999</v>
      </c>
    </row>
    <row r="38" spans="1:10">
      <c r="A38" s="5"/>
      <c r="B38" s="5"/>
      <c r="C38" s="5"/>
      <c r="D38" s="5"/>
      <c r="E38" s="5" t="s">
        <v>80</v>
      </c>
      <c r="F38" s="5">
        <v>-0.2432725</v>
      </c>
      <c r="G38" s="5">
        <v>16.572510000000001</v>
      </c>
      <c r="H38" s="5">
        <v>0.98799999999999999</v>
      </c>
    </row>
    <row r="39" spans="1:10">
      <c r="A39" s="5"/>
      <c r="B39" s="5"/>
      <c r="C39" s="5"/>
      <c r="D39" s="5"/>
      <c r="E39" s="5" t="s">
        <v>81</v>
      </c>
      <c r="F39" s="5">
        <v>-3.2901959999999999</v>
      </c>
      <c r="G39" s="5">
        <v>16.632259999999999</v>
      </c>
      <c r="H39" s="5">
        <v>0.84299999999999997</v>
      </c>
    </row>
    <row r="40" spans="1:10">
      <c r="A40" s="5"/>
      <c r="B40" s="5"/>
      <c r="C40" s="5"/>
      <c r="D40" s="5"/>
      <c r="E40" s="5" t="s">
        <v>82</v>
      </c>
      <c r="F40" s="5">
        <v>-1.9561660000000001</v>
      </c>
      <c r="G40" s="5">
        <v>16.562830000000002</v>
      </c>
      <c r="H40" s="5">
        <v>0.90600000000000003</v>
      </c>
    </row>
    <row r="41" spans="1:10">
      <c r="A41" s="5"/>
      <c r="B41" s="5"/>
      <c r="C41" s="5"/>
      <c r="D41" s="5"/>
      <c r="E41" s="5" t="s">
        <v>83</v>
      </c>
      <c r="F41" s="5">
        <v>0.8546454</v>
      </c>
      <c r="G41" s="5">
        <v>16.645669999999999</v>
      </c>
      <c r="H41" s="5">
        <v>0.95899999999999996</v>
      </c>
    </row>
    <row r="42" spans="1:10">
      <c r="A42" s="5"/>
      <c r="B42" s="5"/>
      <c r="C42" s="5"/>
      <c r="D42" s="5"/>
      <c r="E42" s="5" t="s">
        <v>84</v>
      </c>
      <c r="F42" s="5">
        <v>-1.7738560000000001</v>
      </c>
      <c r="G42" s="5">
        <v>16.62171</v>
      </c>
      <c r="H42" s="5">
        <v>0.91500000000000004</v>
      </c>
    </row>
    <row r="43" spans="1:10">
      <c r="A43" s="5"/>
      <c r="B43" s="5"/>
      <c r="C43" s="5"/>
      <c r="D43" s="5"/>
      <c r="E43" s="5" t="s">
        <v>85</v>
      </c>
      <c r="F43" s="5">
        <v>0.3849206</v>
      </c>
      <c r="G43" s="5">
        <v>16.749870000000001</v>
      </c>
      <c r="H43" s="5">
        <v>0.98199999999999998</v>
      </c>
    </row>
    <row r="44" spans="1:10">
      <c r="A44" s="5"/>
      <c r="B44" s="5"/>
      <c r="C44" s="5"/>
      <c r="D44" s="5"/>
      <c r="E44" s="5" t="s">
        <v>86</v>
      </c>
      <c r="F44" s="5">
        <v>-1.249601</v>
      </c>
      <c r="G44" s="5">
        <v>16.654579999999999</v>
      </c>
      <c r="H44" s="5">
        <v>0.94</v>
      </c>
    </row>
    <row r="45" spans="1:10">
      <c r="A45" s="5"/>
      <c r="B45" s="5"/>
      <c r="C45" s="5"/>
      <c r="D45" s="5"/>
      <c r="E45" s="5" t="s">
        <v>46</v>
      </c>
      <c r="F45" s="5">
        <v>44</v>
      </c>
      <c r="G45" s="5">
        <v>11.694089999999999</v>
      </c>
      <c r="H45" s="5">
        <v>0</v>
      </c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8"/>
      <c r="B48" s="8" t="s">
        <v>99</v>
      </c>
      <c r="C48" s="8"/>
      <c r="D48" s="8"/>
      <c r="E48" s="12" t="s">
        <v>95</v>
      </c>
      <c r="F48" s="12"/>
      <c r="G48" s="12"/>
      <c r="H48" s="8" t="s">
        <v>99</v>
      </c>
      <c r="I48" s="8"/>
      <c r="J48" s="8"/>
    </row>
    <row r="49" spans="1:10">
      <c r="A49" s="8"/>
      <c r="B49" s="8" t="s">
        <v>96</v>
      </c>
      <c r="C49" s="8" t="s">
        <v>42</v>
      </c>
      <c r="D49" s="8" t="s">
        <v>2</v>
      </c>
      <c r="E49" s="8" t="s">
        <v>96</v>
      </c>
      <c r="F49" s="8" t="s">
        <v>42</v>
      </c>
      <c r="G49" s="8" t="s">
        <v>2</v>
      </c>
      <c r="H49" s="8" t="s">
        <v>96</v>
      </c>
      <c r="I49" s="8" t="s">
        <v>42</v>
      </c>
      <c r="J49" s="8" t="s">
        <v>2</v>
      </c>
    </row>
    <row r="50" spans="1:10">
      <c r="A50" s="8" t="s">
        <v>43</v>
      </c>
      <c r="B50" s="8">
        <v>2.293444</v>
      </c>
      <c r="C50" s="8">
        <v>7.2455400000000003E-2</v>
      </c>
      <c r="D50" s="8">
        <v>0</v>
      </c>
      <c r="E50" s="8">
        <v>2.3701569999999998</v>
      </c>
      <c r="F50" s="8">
        <v>9.8820199999999997E-2</v>
      </c>
      <c r="G50" s="8">
        <v>0</v>
      </c>
      <c r="H50" s="8">
        <v>2.293444</v>
      </c>
      <c r="I50" s="8">
        <v>7.2455400000000003E-2</v>
      </c>
      <c r="J50" s="8">
        <v>0</v>
      </c>
    </row>
    <row r="51" spans="1:10">
      <c r="A51" s="8" t="s">
        <v>44</v>
      </c>
      <c r="B51" s="8">
        <v>0.1666502</v>
      </c>
      <c r="C51" s="8">
        <v>0.41490169999999998</v>
      </c>
      <c r="D51" s="8">
        <v>0.68799999999999994</v>
      </c>
      <c r="E51" s="8">
        <v>0.1167348</v>
      </c>
      <c r="F51" s="8">
        <v>1.587466</v>
      </c>
      <c r="G51" s="8">
        <v>0.94099999999999995</v>
      </c>
      <c r="H51" s="8">
        <v>0.1666502</v>
      </c>
      <c r="I51" s="8">
        <v>0.41490169999999998</v>
      </c>
      <c r="J51" s="8">
        <v>0.68799999999999994</v>
      </c>
    </row>
    <row r="52" spans="1:10">
      <c r="A52" s="8" t="s">
        <v>97</v>
      </c>
      <c r="B52" s="8"/>
      <c r="C52" s="8"/>
      <c r="D52" s="8"/>
      <c r="E52" s="8"/>
      <c r="F52" s="8"/>
      <c r="G52" s="8"/>
      <c r="H52" s="8"/>
      <c r="I52" s="8"/>
      <c r="J52" s="8"/>
    </row>
    <row r="53" spans="1:10">
      <c r="A53" s="8">
        <v>2</v>
      </c>
      <c r="B53" s="8"/>
      <c r="C53" s="8"/>
      <c r="D53" s="8"/>
      <c r="E53" s="8">
        <v>11.8598</v>
      </c>
      <c r="F53" s="8">
        <v>12.04346</v>
      </c>
      <c r="G53" s="8">
        <v>0.32500000000000001</v>
      </c>
      <c r="H53" s="8"/>
      <c r="I53" s="8"/>
      <c r="J53" s="8"/>
    </row>
    <row r="54" spans="1:10">
      <c r="A54" s="8">
        <v>3</v>
      </c>
      <c r="B54" s="8"/>
      <c r="C54" s="8"/>
      <c r="D54" s="8"/>
      <c r="E54" s="8">
        <v>7.4896450000000003</v>
      </c>
      <c r="F54" s="8">
        <v>5.7351979999999996</v>
      </c>
      <c r="G54" s="8">
        <v>0.192</v>
      </c>
      <c r="H54" s="8"/>
      <c r="I54" s="8"/>
      <c r="J54" s="8"/>
    </row>
    <row r="55" spans="1:10">
      <c r="A55" s="8">
        <v>4</v>
      </c>
      <c r="B55" s="8"/>
      <c r="C55" s="8"/>
      <c r="D55" s="8"/>
      <c r="E55" s="8">
        <v>21.619489999999999</v>
      </c>
      <c r="F55" s="8">
        <v>6.2895469999999998</v>
      </c>
      <c r="G55" s="8">
        <v>1E-3</v>
      </c>
      <c r="H55" s="8"/>
      <c r="I55" s="8"/>
      <c r="J55" s="8"/>
    </row>
    <row r="56" spans="1:10">
      <c r="A56" s="8">
        <v>5</v>
      </c>
      <c r="B56" s="8"/>
      <c r="C56" s="8"/>
      <c r="D56" s="8"/>
      <c r="E56" s="8">
        <v>0.74933070000000002</v>
      </c>
      <c r="F56" s="8">
        <v>12.003259999999999</v>
      </c>
      <c r="G56" s="8">
        <v>0.95</v>
      </c>
      <c r="H56" s="8"/>
      <c r="I56" s="8"/>
      <c r="J56" s="8"/>
    </row>
    <row r="57" spans="1:10">
      <c r="A57" s="8">
        <v>6</v>
      </c>
      <c r="B57" s="8"/>
      <c r="C57" s="8"/>
      <c r="D57" s="8"/>
      <c r="E57" s="8">
        <v>9.7428100000000004</v>
      </c>
      <c r="F57" s="8">
        <v>4.0911369999999998</v>
      </c>
      <c r="G57" s="8">
        <v>1.7000000000000001E-2</v>
      </c>
      <c r="H57" s="8"/>
      <c r="I57" s="8"/>
      <c r="J57" s="8"/>
    </row>
    <row r="58" spans="1:10">
      <c r="A58" s="8">
        <v>7</v>
      </c>
      <c r="B58" s="8"/>
      <c r="C58" s="8"/>
      <c r="D58" s="8"/>
      <c r="E58" s="8">
        <v>6.0090159999999999</v>
      </c>
      <c r="F58" s="8">
        <v>5.6321079999999997</v>
      </c>
      <c r="G58" s="8">
        <v>0.28599999999999998</v>
      </c>
      <c r="H58" s="8"/>
      <c r="I58" s="8"/>
      <c r="J58" s="8"/>
    </row>
    <row r="59" spans="1:10">
      <c r="A59" s="8">
        <v>8</v>
      </c>
      <c r="B59" s="8"/>
      <c r="C59" s="8"/>
      <c r="D59" s="8"/>
      <c r="E59" s="8">
        <v>8.1388580000000008</v>
      </c>
      <c r="F59" s="8">
        <v>3.501293</v>
      </c>
      <c r="G59" s="8">
        <v>0.02</v>
      </c>
      <c r="H59" s="8"/>
      <c r="I59" s="8"/>
      <c r="J59" s="8"/>
    </row>
    <row r="60" spans="1:10">
      <c r="A60" s="8">
        <v>9</v>
      </c>
      <c r="B60" s="8"/>
      <c r="C60" s="8"/>
      <c r="D60" s="8"/>
      <c r="E60" s="8">
        <v>5.2270339999999997</v>
      </c>
      <c r="F60" s="8">
        <v>3.0203829999999998</v>
      </c>
      <c r="G60" s="8">
        <v>8.4000000000000005E-2</v>
      </c>
      <c r="H60" s="8"/>
      <c r="I60" s="8"/>
      <c r="J60" s="8"/>
    </row>
    <row r="61" spans="1:10">
      <c r="A61" s="8">
        <v>10</v>
      </c>
      <c r="B61" s="8"/>
      <c r="C61" s="8"/>
      <c r="D61" s="8"/>
      <c r="E61" s="8">
        <v>0.1147599</v>
      </c>
      <c r="F61" s="8">
        <v>2.6213649999999999</v>
      </c>
      <c r="G61" s="8">
        <v>0.96499999999999997</v>
      </c>
      <c r="H61" s="8"/>
      <c r="I61" s="8"/>
      <c r="J61" s="8"/>
    </row>
    <row r="62" spans="1:10">
      <c r="A62" s="8">
        <v>11</v>
      </c>
      <c r="B62" s="8"/>
      <c r="C62" s="8"/>
      <c r="D62" s="8"/>
      <c r="E62" s="8">
        <v>-0.4928903</v>
      </c>
      <c r="F62" s="8">
        <v>2.4253480000000001</v>
      </c>
      <c r="G62" s="8">
        <v>0.83899999999999997</v>
      </c>
      <c r="H62" s="8"/>
      <c r="I62" s="8"/>
      <c r="J62" s="8"/>
    </row>
    <row r="63" spans="1:10">
      <c r="A63" s="8">
        <v>12</v>
      </c>
      <c r="B63" s="8"/>
      <c r="C63" s="8"/>
      <c r="D63" s="8"/>
      <c r="E63" s="8">
        <v>-0.63632560000000005</v>
      </c>
      <c r="F63" s="8">
        <v>1.75743</v>
      </c>
      <c r="G63" s="8">
        <v>0.71699999999999997</v>
      </c>
      <c r="H63" s="8"/>
      <c r="I63" s="8"/>
      <c r="J63" s="8"/>
    </row>
    <row r="64" spans="1:10">
      <c r="A64" s="8">
        <v>13</v>
      </c>
      <c r="B64" s="8"/>
      <c r="C64" s="8"/>
      <c r="D64" s="8"/>
      <c r="E64" s="8">
        <v>-1.0495350000000001</v>
      </c>
      <c r="F64" s="8">
        <v>1.9469689999999999</v>
      </c>
      <c r="G64" s="8">
        <v>0.59</v>
      </c>
      <c r="H64" s="8"/>
      <c r="I64" s="8"/>
      <c r="J64" s="8"/>
    </row>
    <row r="65" spans="1:10">
      <c r="A65" s="8">
        <v>14</v>
      </c>
      <c r="B65" s="8"/>
      <c r="C65" s="8"/>
      <c r="D65" s="8"/>
      <c r="E65" s="8">
        <v>-0.88910350000000005</v>
      </c>
      <c r="F65" s="8">
        <v>1.7556130000000001</v>
      </c>
      <c r="G65" s="8">
        <v>0.61299999999999999</v>
      </c>
      <c r="H65" s="8"/>
      <c r="I65" s="8"/>
      <c r="J65" s="8"/>
    </row>
    <row r="66" spans="1:10">
      <c r="A66" s="8">
        <v>15</v>
      </c>
      <c r="B66" s="8"/>
      <c r="C66" s="8"/>
      <c r="D66" s="8"/>
      <c r="E66" s="8">
        <v>-4.2189100000000002</v>
      </c>
      <c r="F66" s="8">
        <v>1.9785569999999999</v>
      </c>
      <c r="G66" s="8">
        <v>3.3000000000000002E-2</v>
      </c>
      <c r="H66" s="8"/>
      <c r="I66" s="8"/>
      <c r="J66" s="8"/>
    </row>
    <row r="67" spans="1:10">
      <c r="A67" s="8">
        <v>16</v>
      </c>
      <c r="B67" s="8"/>
      <c r="C67" s="8"/>
      <c r="D67" s="8"/>
      <c r="E67" s="8">
        <v>0.74622670000000002</v>
      </c>
      <c r="F67" s="8">
        <v>1.6524570000000001</v>
      </c>
      <c r="G67" s="8">
        <v>0.65200000000000002</v>
      </c>
      <c r="H67" s="8"/>
      <c r="I67" s="8"/>
      <c r="J67" s="8"/>
    </row>
    <row r="68" spans="1:10">
      <c r="A68" s="8">
        <v>17</v>
      </c>
      <c r="B68" s="8"/>
      <c r="C68" s="8"/>
      <c r="D68" s="8"/>
      <c r="E68" s="8">
        <v>2.8983509999999999</v>
      </c>
      <c r="F68" s="8">
        <v>2.0792160000000002</v>
      </c>
      <c r="G68" s="8">
        <v>0.16300000000000001</v>
      </c>
      <c r="H68" s="8"/>
      <c r="I68" s="8"/>
      <c r="J68" s="8"/>
    </row>
    <row r="69" spans="1:10">
      <c r="A69" s="8">
        <v>18</v>
      </c>
      <c r="B69" s="8"/>
      <c r="C69" s="8"/>
      <c r="D69" s="8"/>
      <c r="E69" s="8">
        <v>1.6078730000000001</v>
      </c>
      <c r="F69" s="8">
        <v>1.949605</v>
      </c>
      <c r="G69" s="8">
        <v>0.41</v>
      </c>
      <c r="H69" s="8"/>
      <c r="I69" s="8"/>
      <c r="J69" s="8"/>
    </row>
    <row r="70" spans="1:10">
      <c r="A70" s="8">
        <v>19</v>
      </c>
      <c r="B70" s="8"/>
      <c r="C70" s="8"/>
      <c r="D70" s="8"/>
      <c r="E70" s="8">
        <v>-0.23842849999999999</v>
      </c>
      <c r="F70" s="8">
        <v>2.45147</v>
      </c>
      <c r="G70" s="8">
        <v>0.92300000000000004</v>
      </c>
      <c r="H70" s="8"/>
      <c r="I70" s="8"/>
      <c r="J70" s="8"/>
    </row>
    <row r="71" spans="1:10">
      <c r="A71" s="8">
        <v>20</v>
      </c>
      <c r="B71" s="8"/>
      <c r="C71" s="8"/>
      <c r="D71" s="8"/>
      <c r="E71" s="8">
        <v>0</v>
      </c>
      <c r="F71" s="8" t="s">
        <v>98</v>
      </c>
      <c r="G71" s="8"/>
      <c r="H71" s="8"/>
      <c r="I71" s="8"/>
      <c r="J71" s="8"/>
    </row>
    <row r="72" spans="1:10">
      <c r="A72" s="8" t="s">
        <v>46</v>
      </c>
      <c r="B72" s="8">
        <v>12.376429999999999</v>
      </c>
      <c r="C72" s="8">
        <v>1.070964</v>
      </c>
      <c r="D72" s="8">
        <v>0</v>
      </c>
      <c r="E72" s="8">
        <v>11.283149999999999</v>
      </c>
      <c r="F72" s="8">
        <v>1.436369</v>
      </c>
      <c r="G72" s="8">
        <v>0</v>
      </c>
      <c r="H72" s="8">
        <v>12.376429999999999</v>
      </c>
      <c r="I72" s="8">
        <v>1.070964</v>
      </c>
      <c r="J72" s="8">
        <v>0</v>
      </c>
    </row>
  </sheetData>
  <mergeCells count="3">
    <mergeCell ref="B1:E1"/>
    <mergeCell ref="F1:H1"/>
    <mergeCell ref="E48:G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A9AC-A3ED-4B88-AC85-B0856F21F715}">
  <dimension ref="A1:H149"/>
  <sheetViews>
    <sheetView workbookViewId="0">
      <selection activeCell="F3" sqref="F3"/>
    </sheetView>
  </sheetViews>
  <sheetFormatPr baseColWidth="10" defaultRowHeight="14.4"/>
  <sheetData>
    <row r="1" spans="1:8">
      <c r="A1" s="8" t="s">
        <v>100</v>
      </c>
      <c r="B1" s="8" t="s">
        <v>96</v>
      </c>
      <c r="C1" s="8" t="s">
        <v>42</v>
      </c>
      <c r="D1" s="8" t="s">
        <v>2</v>
      </c>
      <c r="E1" s="8" t="s">
        <v>100</v>
      </c>
      <c r="F1" s="8" t="s">
        <v>96</v>
      </c>
      <c r="G1" s="8" t="s">
        <v>42</v>
      </c>
      <c r="H1" s="8" t="s">
        <v>2</v>
      </c>
    </row>
    <row r="2" spans="1:8">
      <c r="A2" s="8"/>
      <c r="B2" s="8"/>
      <c r="C2" s="8"/>
      <c r="D2" s="8"/>
      <c r="E2" s="8"/>
      <c r="F2" s="8"/>
      <c r="G2" s="8"/>
      <c r="H2" s="8"/>
    </row>
    <row r="3" spans="1:8">
      <c r="A3" s="8" t="s">
        <v>43</v>
      </c>
      <c r="B3" s="8">
        <v>-0.57638889999999998</v>
      </c>
      <c r="C3" s="8">
        <v>3.545639</v>
      </c>
      <c r="D3" s="8">
        <v>0.871</v>
      </c>
      <c r="E3" s="8" t="s">
        <v>43</v>
      </c>
      <c r="F3" s="8">
        <v>2.312176</v>
      </c>
      <c r="G3" s="8">
        <v>0.23616809999999999</v>
      </c>
      <c r="H3" s="9">
        <v>0</v>
      </c>
    </row>
    <row r="4" spans="1:8">
      <c r="A4" s="8" t="s">
        <v>101</v>
      </c>
      <c r="B4" s="8">
        <v>-0.25410050000000001</v>
      </c>
      <c r="C4" s="8">
        <v>0.75041409999999997</v>
      </c>
      <c r="D4" s="8">
        <v>0.73499999999999999</v>
      </c>
      <c r="E4" s="8" t="s">
        <v>101</v>
      </c>
      <c r="F4" s="8">
        <v>6.7296400000000006E-2</v>
      </c>
      <c r="G4" s="8">
        <v>6.19433E-2</v>
      </c>
      <c r="H4" s="8">
        <v>0.27700000000000002</v>
      </c>
    </row>
    <row r="5" spans="1:8">
      <c r="A5" s="8" t="s">
        <v>102</v>
      </c>
      <c r="B5" s="8">
        <v>-5.0762169999999998</v>
      </c>
      <c r="C5" s="8">
        <v>53.58511</v>
      </c>
      <c r="D5" s="8">
        <v>0.92500000000000004</v>
      </c>
      <c r="E5" s="8"/>
      <c r="F5" s="8"/>
      <c r="G5" s="8"/>
      <c r="H5" s="8"/>
    </row>
    <row r="6" spans="1:8">
      <c r="A6" s="8" t="s">
        <v>103</v>
      </c>
      <c r="B6" s="8">
        <v>-10.965909999999999</v>
      </c>
      <c r="C6" s="8">
        <v>43.448709999999998</v>
      </c>
      <c r="D6" s="8">
        <v>0.80100000000000005</v>
      </c>
      <c r="E6" s="8"/>
      <c r="F6" s="8"/>
      <c r="G6" s="8"/>
      <c r="H6" s="8"/>
    </row>
    <row r="7" spans="1:8">
      <c r="A7" s="8" t="s">
        <v>104</v>
      </c>
      <c r="B7" s="8">
        <v>-17.421189999999999</v>
      </c>
      <c r="C7" s="8">
        <v>41.047519999999999</v>
      </c>
      <c r="D7" s="8">
        <v>0.67100000000000004</v>
      </c>
      <c r="E7" s="8"/>
      <c r="F7" s="8"/>
      <c r="G7" s="8"/>
      <c r="H7" s="8"/>
    </row>
    <row r="8" spans="1:8">
      <c r="A8" s="8" t="s">
        <v>105</v>
      </c>
      <c r="B8" s="8">
        <v>-13.83145</v>
      </c>
      <c r="C8" s="8">
        <v>40.68927</v>
      </c>
      <c r="D8" s="8">
        <v>0.73399999999999999</v>
      </c>
      <c r="E8" s="8"/>
      <c r="F8" s="8"/>
      <c r="G8" s="8"/>
      <c r="H8" s="8"/>
    </row>
    <row r="9" spans="1:8">
      <c r="A9" s="8" t="s">
        <v>106</v>
      </c>
      <c r="B9" s="8">
        <v>-24.433039999999998</v>
      </c>
      <c r="C9" s="8">
        <v>39.29618</v>
      </c>
      <c r="D9" s="8">
        <v>0.53400000000000003</v>
      </c>
      <c r="E9" s="8"/>
      <c r="F9" s="8"/>
      <c r="G9" s="8"/>
      <c r="H9" s="8"/>
    </row>
    <row r="10" spans="1:8">
      <c r="A10" s="8" t="s">
        <v>107</v>
      </c>
      <c r="B10" s="8">
        <v>-18.820399999999999</v>
      </c>
      <c r="C10" s="8">
        <v>39.342680000000001</v>
      </c>
      <c r="D10" s="8">
        <v>0.63200000000000001</v>
      </c>
      <c r="E10" s="8"/>
      <c r="F10" s="8"/>
      <c r="G10" s="8"/>
      <c r="H10" s="8"/>
    </row>
    <row r="11" spans="1:8">
      <c r="A11" s="8" t="s">
        <v>108</v>
      </c>
      <c r="B11" s="8">
        <v>-15.33174</v>
      </c>
      <c r="C11" s="8">
        <v>37.599910000000001</v>
      </c>
      <c r="D11" s="8">
        <v>0.68300000000000005</v>
      </c>
      <c r="E11" s="8"/>
      <c r="F11" s="8"/>
      <c r="G11" s="8"/>
      <c r="H11" s="8"/>
    </row>
    <row r="12" spans="1:8">
      <c r="A12" s="8" t="s">
        <v>109</v>
      </c>
      <c r="B12" s="8">
        <v>-29.916840000000001</v>
      </c>
      <c r="C12" s="8">
        <v>37.330730000000003</v>
      </c>
      <c r="D12" s="8">
        <v>0.42299999999999999</v>
      </c>
      <c r="E12" s="8"/>
      <c r="F12" s="8"/>
      <c r="G12" s="8"/>
      <c r="H12" s="8"/>
    </row>
    <row r="13" spans="1:8">
      <c r="A13" s="8" t="s">
        <v>110</v>
      </c>
      <c r="B13" s="8">
        <v>-32.501950000000001</v>
      </c>
      <c r="C13" s="8">
        <v>37.237520000000004</v>
      </c>
      <c r="D13" s="8">
        <v>0.38300000000000001</v>
      </c>
      <c r="E13" s="8"/>
      <c r="F13" s="8"/>
      <c r="G13" s="8"/>
      <c r="H13" s="8"/>
    </row>
    <row r="14" spans="1:8">
      <c r="A14" s="8" t="s">
        <v>111</v>
      </c>
      <c r="B14" s="8">
        <v>-23.789750000000002</v>
      </c>
      <c r="C14" s="8">
        <v>36.064399999999999</v>
      </c>
      <c r="D14" s="8">
        <v>0.51</v>
      </c>
      <c r="E14" s="8"/>
      <c r="F14" s="8"/>
      <c r="G14" s="8"/>
      <c r="H14" s="8"/>
    </row>
    <row r="15" spans="1:8">
      <c r="A15" s="8" t="s">
        <v>112</v>
      </c>
      <c r="B15" s="8">
        <v>-16.29729</v>
      </c>
      <c r="C15" s="8">
        <v>35.41818</v>
      </c>
      <c r="D15" s="8">
        <v>0.64500000000000002</v>
      </c>
      <c r="E15" s="8"/>
      <c r="F15" s="8"/>
      <c r="G15" s="8"/>
      <c r="H15" s="8"/>
    </row>
    <row r="16" spans="1:8">
      <c r="A16" s="8" t="s">
        <v>113</v>
      </c>
      <c r="B16" s="8">
        <v>-25.401070000000001</v>
      </c>
      <c r="C16" s="8">
        <v>35.705660000000002</v>
      </c>
      <c r="D16" s="8">
        <v>0.47699999999999998</v>
      </c>
      <c r="E16" s="8"/>
      <c r="F16" s="8"/>
      <c r="G16" s="8"/>
      <c r="H16" s="8"/>
    </row>
    <row r="17" spans="1:8">
      <c r="A17" s="8" t="s">
        <v>114</v>
      </c>
      <c r="B17" s="8">
        <v>-27.625019999999999</v>
      </c>
      <c r="C17" s="8">
        <v>34.578380000000003</v>
      </c>
      <c r="D17" s="8">
        <v>0.42399999999999999</v>
      </c>
      <c r="E17" s="8"/>
      <c r="F17" s="8"/>
      <c r="G17" s="8"/>
      <c r="H17" s="8"/>
    </row>
    <row r="18" spans="1:8">
      <c r="A18" s="8" t="s">
        <v>115</v>
      </c>
      <c r="B18" s="8">
        <v>-30.686579999999999</v>
      </c>
      <c r="C18" s="8">
        <v>33.79618</v>
      </c>
      <c r="D18" s="8">
        <v>0.36399999999999999</v>
      </c>
      <c r="E18" s="8"/>
      <c r="F18" s="8"/>
      <c r="G18" s="8"/>
      <c r="H18" s="8"/>
    </row>
    <row r="19" spans="1:8">
      <c r="A19" s="8" t="s">
        <v>116</v>
      </c>
      <c r="B19" s="8">
        <v>-14.77694</v>
      </c>
      <c r="C19" s="8">
        <v>33.38409</v>
      </c>
      <c r="D19" s="8">
        <v>0.65800000000000003</v>
      </c>
      <c r="E19" s="8"/>
      <c r="F19" s="8"/>
      <c r="G19" s="8"/>
      <c r="H19" s="8"/>
    </row>
    <row r="20" spans="1:8">
      <c r="A20" s="8" t="s">
        <v>117</v>
      </c>
      <c r="B20" s="8">
        <v>-28.053129999999999</v>
      </c>
      <c r="C20" s="8">
        <v>32.986879999999999</v>
      </c>
      <c r="D20" s="8">
        <v>0.39500000000000002</v>
      </c>
      <c r="E20" s="8"/>
      <c r="F20" s="8"/>
      <c r="G20" s="8"/>
      <c r="H20" s="8"/>
    </row>
    <row r="21" spans="1:8">
      <c r="A21" s="8" t="s">
        <v>118</v>
      </c>
      <c r="B21" s="8">
        <v>-16.40944</v>
      </c>
      <c r="C21" s="8">
        <v>32.589880000000001</v>
      </c>
      <c r="D21" s="8">
        <v>0.61499999999999999</v>
      </c>
      <c r="E21" s="8"/>
      <c r="F21" s="8"/>
      <c r="G21" s="8"/>
      <c r="H21" s="8"/>
    </row>
    <row r="22" spans="1:8">
      <c r="A22" s="8" t="s">
        <v>119</v>
      </c>
      <c r="B22" s="8">
        <v>-28.631820000000001</v>
      </c>
      <c r="C22" s="8">
        <v>32.250680000000003</v>
      </c>
      <c r="D22" s="8">
        <v>0.375</v>
      </c>
      <c r="E22" s="8"/>
      <c r="F22" s="8"/>
      <c r="G22" s="8"/>
      <c r="H22" s="8"/>
    </row>
    <row r="23" spans="1:8">
      <c r="A23" s="8" t="s">
        <v>120</v>
      </c>
      <c r="B23" s="8">
        <v>-31.071670000000001</v>
      </c>
      <c r="C23" s="8">
        <v>31.886700000000001</v>
      </c>
      <c r="D23" s="8">
        <v>0.33</v>
      </c>
      <c r="E23" s="8"/>
      <c r="F23" s="8"/>
      <c r="G23" s="8"/>
      <c r="H23" s="8"/>
    </row>
    <row r="24" spans="1:8">
      <c r="A24" s="8" t="s">
        <v>121</v>
      </c>
      <c r="B24" s="8">
        <v>-25.474440000000001</v>
      </c>
      <c r="C24" s="8">
        <v>31.65063</v>
      </c>
      <c r="D24" s="8">
        <v>0.42099999999999999</v>
      </c>
      <c r="E24" s="8"/>
      <c r="F24" s="8"/>
      <c r="G24" s="8"/>
      <c r="H24" s="8"/>
    </row>
    <row r="25" spans="1:8">
      <c r="A25" s="8" t="s">
        <v>122</v>
      </c>
      <c r="B25" s="8">
        <v>-28.139089999999999</v>
      </c>
      <c r="C25" s="8">
        <v>31.26371</v>
      </c>
      <c r="D25" s="8">
        <v>0.36799999999999999</v>
      </c>
      <c r="E25" s="8"/>
      <c r="F25" s="8"/>
      <c r="G25" s="8"/>
      <c r="H25" s="8"/>
    </row>
    <row r="26" spans="1:8">
      <c r="A26" s="8" t="s">
        <v>123</v>
      </c>
      <c r="B26" s="8">
        <v>-13.68948</v>
      </c>
      <c r="C26" s="8">
        <v>30.809149999999999</v>
      </c>
      <c r="D26" s="8">
        <v>0.65700000000000003</v>
      </c>
      <c r="E26" s="8"/>
      <c r="F26" s="8"/>
      <c r="G26" s="8"/>
      <c r="H26" s="8"/>
    </row>
    <row r="27" spans="1:8">
      <c r="A27" s="8" t="s">
        <v>124</v>
      </c>
      <c r="B27" s="8">
        <v>-5.8053359999999996</v>
      </c>
      <c r="C27" s="8">
        <v>30.61167</v>
      </c>
      <c r="D27" s="8">
        <v>0.85</v>
      </c>
      <c r="E27" s="8"/>
      <c r="F27" s="8"/>
      <c r="G27" s="8"/>
      <c r="H27" s="8"/>
    </row>
    <row r="28" spans="1:8">
      <c r="A28" s="8" t="s">
        <v>125</v>
      </c>
      <c r="B28" s="8">
        <v>-33.941630000000004</v>
      </c>
      <c r="C28" s="8">
        <v>30.569759999999999</v>
      </c>
      <c r="D28" s="8">
        <v>0.26700000000000002</v>
      </c>
      <c r="E28" s="8"/>
      <c r="F28" s="8"/>
      <c r="G28" s="8"/>
      <c r="H28" s="8"/>
    </row>
    <row r="29" spans="1:8">
      <c r="A29" s="8" t="s">
        <v>126</v>
      </c>
      <c r="B29" s="8">
        <v>-25.77638</v>
      </c>
      <c r="C29" s="8">
        <v>30.706209999999999</v>
      </c>
      <c r="D29" s="8">
        <v>0.40100000000000002</v>
      </c>
      <c r="E29" s="8"/>
      <c r="F29" s="8"/>
      <c r="G29" s="8"/>
      <c r="H29" s="8"/>
    </row>
    <row r="30" spans="1:8">
      <c r="A30" s="8" t="s">
        <v>127</v>
      </c>
      <c r="B30" s="8">
        <v>-8.1258490000000005</v>
      </c>
      <c r="C30" s="8">
        <v>29.256640000000001</v>
      </c>
      <c r="D30" s="8">
        <v>0.78100000000000003</v>
      </c>
      <c r="E30" s="8"/>
      <c r="F30" s="8"/>
      <c r="G30" s="8"/>
      <c r="H30" s="8"/>
    </row>
    <row r="31" spans="1:8">
      <c r="A31" s="8" t="s">
        <v>128</v>
      </c>
      <c r="B31" s="8">
        <v>-4.9329640000000001</v>
      </c>
      <c r="C31" s="8">
        <v>29.290890000000001</v>
      </c>
      <c r="D31" s="8">
        <v>0.86599999999999999</v>
      </c>
      <c r="E31" s="8"/>
      <c r="F31" s="8"/>
      <c r="G31" s="8"/>
      <c r="H31" s="8"/>
    </row>
    <row r="32" spans="1:8">
      <c r="A32" s="8" t="s">
        <v>129</v>
      </c>
      <c r="B32" s="8">
        <v>-17.708570000000002</v>
      </c>
      <c r="C32" s="8">
        <v>29.173310000000001</v>
      </c>
      <c r="D32" s="8">
        <v>0.54400000000000004</v>
      </c>
      <c r="E32" s="8"/>
      <c r="F32" s="8"/>
      <c r="G32" s="8"/>
      <c r="H32" s="8"/>
    </row>
    <row r="33" spans="1:8">
      <c r="A33" s="8" t="s">
        <v>130</v>
      </c>
      <c r="B33" s="8">
        <v>10.163679999999999</v>
      </c>
      <c r="C33" s="8">
        <v>28.378209999999999</v>
      </c>
      <c r="D33" s="8">
        <v>0.72</v>
      </c>
      <c r="E33" s="8"/>
      <c r="F33" s="8"/>
      <c r="G33" s="8"/>
      <c r="H33" s="8"/>
    </row>
    <row r="34" spans="1:8">
      <c r="A34" s="8" t="s">
        <v>131</v>
      </c>
      <c r="B34" s="8">
        <v>-25.91921</v>
      </c>
      <c r="C34" s="8">
        <v>28.674250000000001</v>
      </c>
      <c r="D34" s="8">
        <v>0.36599999999999999</v>
      </c>
      <c r="E34" s="8"/>
      <c r="F34" s="8"/>
      <c r="G34" s="8"/>
      <c r="H34" s="8"/>
    </row>
    <row r="35" spans="1:8">
      <c r="A35" s="8" t="s">
        <v>132</v>
      </c>
      <c r="B35" s="8">
        <v>-14.791169999999999</v>
      </c>
      <c r="C35" s="8">
        <v>27.986940000000001</v>
      </c>
      <c r="D35" s="8">
        <v>0.59699999999999998</v>
      </c>
      <c r="E35" s="8"/>
      <c r="F35" s="8"/>
      <c r="G35" s="8"/>
      <c r="H35" s="8"/>
    </row>
    <row r="36" spans="1:8">
      <c r="A36" s="8" t="s">
        <v>133</v>
      </c>
      <c r="B36" s="8">
        <v>-13.1655</v>
      </c>
      <c r="C36" s="8">
        <v>27.783449999999998</v>
      </c>
      <c r="D36" s="8">
        <v>0.63600000000000001</v>
      </c>
      <c r="E36" s="8"/>
      <c r="F36" s="8"/>
      <c r="G36" s="8"/>
      <c r="H36" s="8"/>
    </row>
    <row r="37" spans="1:8">
      <c r="A37" s="8" t="s">
        <v>134</v>
      </c>
      <c r="B37" s="8">
        <v>-16.167760000000001</v>
      </c>
      <c r="C37" s="8">
        <v>27.398859999999999</v>
      </c>
      <c r="D37" s="8">
        <v>0.55500000000000005</v>
      </c>
      <c r="E37" s="8"/>
      <c r="F37" s="8"/>
      <c r="G37" s="8"/>
      <c r="H37" s="8"/>
    </row>
    <row r="38" spans="1:8">
      <c r="A38" s="8" t="s">
        <v>135</v>
      </c>
      <c r="B38" s="8">
        <v>-17.597390000000001</v>
      </c>
      <c r="C38" s="8">
        <v>28.31935</v>
      </c>
      <c r="D38" s="8">
        <v>0.53400000000000003</v>
      </c>
      <c r="E38" s="8"/>
      <c r="F38" s="8"/>
      <c r="G38" s="8"/>
      <c r="H38" s="8"/>
    </row>
    <row r="39" spans="1:8">
      <c r="A39" s="8" t="s">
        <v>136</v>
      </c>
      <c r="B39" s="8">
        <v>1.8034539999999999</v>
      </c>
      <c r="C39" s="8">
        <v>27.942060000000001</v>
      </c>
      <c r="D39" s="8">
        <v>0.94899999999999995</v>
      </c>
      <c r="E39" s="8"/>
      <c r="F39" s="8"/>
      <c r="G39" s="8"/>
      <c r="H39" s="8"/>
    </row>
    <row r="40" spans="1:8">
      <c r="A40" s="8" t="s">
        <v>137</v>
      </c>
      <c r="B40" s="8">
        <v>-11.018050000000001</v>
      </c>
      <c r="C40" s="8">
        <v>27.163170000000001</v>
      </c>
      <c r="D40" s="8">
        <v>0.68500000000000005</v>
      </c>
      <c r="E40" s="8"/>
      <c r="F40" s="8"/>
      <c r="G40" s="8"/>
      <c r="H40" s="8"/>
    </row>
    <row r="41" spans="1:8">
      <c r="A41" s="8" t="s">
        <v>138</v>
      </c>
      <c r="B41" s="8">
        <v>-22.579460000000001</v>
      </c>
      <c r="C41" s="8">
        <v>27.039760000000001</v>
      </c>
      <c r="D41" s="8">
        <v>0.40400000000000003</v>
      </c>
      <c r="E41" s="8"/>
      <c r="F41" s="8"/>
      <c r="G41" s="8"/>
      <c r="H41" s="8"/>
    </row>
    <row r="42" spans="1:8">
      <c r="A42" s="8" t="s">
        <v>139</v>
      </c>
      <c r="B42" s="8">
        <v>-0.31436530000000001</v>
      </c>
      <c r="C42" s="8">
        <v>27.101150000000001</v>
      </c>
      <c r="D42" s="8">
        <v>0.99099999999999999</v>
      </c>
      <c r="E42" s="8"/>
      <c r="F42" s="8"/>
      <c r="G42" s="8"/>
      <c r="H42" s="8"/>
    </row>
    <row r="43" spans="1:8">
      <c r="A43" s="8" t="s">
        <v>140</v>
      </c>
      <c r="B43" s="8">
        <v>-20.108689999999999</v>
      </c>
      <c r="C43" s="8">
        <v>27.02815</v>
      </c>
      <c r="D43" s="8">
        <v>0.45700000000000002</v>
      </c>
      <c r="E43" s="8"/>
      <c r="F43" s="8"/>
      <c r="G43" s="8"/>
      <c r="H43" s="8"/>
    </row>
    <row r="44" spans="1:8">
      <c r="A44" s="8" t="s">
        <v>141</v>
      </c>
      <c r="B44" s="8">
        <v>-16.65174</v>
      </c>
      <c r="C44" s="8">
        <v>27.29045</v>
      </c>
      <c r="D44" s="8">
        <v>0.54200000000000004</v>
      </c>
      <c r="E44" s="8"/>
      <c r="F44" s="8"/>
      <c r="G44" s="8"/>
      <c r="H44" s="8"/>
    </row>
    <row r="45" spans="1:8">
      <c r="A45" s="8" t="s">
        <v>142</v>
      </c>
      <c r="B45" s="8">
        <v>-13.65892</v>
      </c>
      <c r="C45" s="8">
        <v>27.00074</v>
      </c>
      <c r="D45" s="8">
        <v>0.61299999999999999</v>
      </c>
      <c r="E45" s="8"/>
      <c r="F45" s="8"/>
      <c r="G45" s="8"/>
      <c r="H45" s="8"/>
    </row>
    <row r="46" spans="1:8">
      <c r="A46" s="8" t="s">
        <v>143</v>
      </c>
      <c r="B46" s="8">
        <v>-16.341640000000002</v>
      </c>
      <c r="C46" s="8">
        <v>26.895610000000001</v>
      </c>
      <c r="D46" s="8">
        <v>0.54400000000000004</v>
      </c>
      <c r="E46" s="8"/>
      <c r="F46" s="8"/>
      <c r="G46" s="8"/>
      <c r="H46" s="8"/>
    </row>
    <row r="47" spans="1:8">
      <c r="A47" s="8" t="s">
        <v>144</v>
      </c>
      <c r="B47" s="8">
        <v>-18.697019999999998</v>
      </c>
      <c r="C47" s="8">
        <v>26.912780000000001</v>
      </c>
      <c r="D47" s="8">
        <v>0.48699999999999999</v>
      </c>
      <c r="E47" s="8"/>
      <c r="F47" s="8"/>
      <c r="G47" s="8"/>
      <c r="H47" s="8"/>
    </row>
    <row r="48" spans="1:8">
      <c r="A48" s="8" t="s">
        <v>145</v>
      </c>
      <c r="B48" s="8">
        <v>-40.51155</v>
      </c>
      <c r="C48" s="8">
        <v>27.417870000000001</v>
      </c>
      <c r="D48" s="8">
        <v>0.14000000000000001</v>
      </c>
      <c r="E48" s="8"/>
      <c r="F48" s="8"/>
      <c r="G48" s="8"/>
      <c r="H48" s="8"/>
    </row>
    <row r="49" spans="1:8">
      <c r="A49" s="8" t="s">
        <v>146</v>
      </c>
      <c r="B49" s="8">
        <v>-13.0908</v>
      </c>
      <c r="C49" s="8">
        <v>28.148569999999999</v>
      </c>
      <c r="D49" s="8">
        <v>0.64200000000000002</v>
      </c>
      <c r="E49" s="8"/>
      <c r="F49" s="8"/>
      <c r="G49" s="8"/>
      <c r="H49" s="8"/>
    </row>
    <row r="50" spans="1:8">
      <c r="A50" s="8" t="s">
        <v>147</v>
      </c>
      <c r="B50" s="8">
        <v>-16.01444</v>
      </c>
      <c r="C50" s="8">
        <v>27.04495</v>
      </c>
      <c r="D50" s="8">
        <v>0.55400000000000005</v>
      </c>
      <c r="E50" s="8"/>
      <c r="F50" s="8"/>
      <c r="G50" s="8"/>
      <c r="H50" s="8"/>
    </row>
    <row r="51" spans="1:8">
      <c r="A51" s="8" t="s">
        <v>148</v>
      </c>
      <c r="B51" s="8">
        <v>-2.6727850000000002</v>
      </c>
      <c r="C51" s="8">
        <v>27.56521</v>
      </c>
      <c r="D51" s="8">
        <v>0.92300000000000004</v>
      </c>
      <c r="E51" s="8"/>
      <c r="F51" s="8"/>
      <c r="G51" s="8"/>
      <c r="H51" s="8"/>
    </row>
    <row r="52" spans="1:8">
      <c r="A52" s="8" t="s">
        <v>149</v>
      </c>
      <c r="B52" s="8">
        <v>-24.661660000000001</v>
      </c>
      <c r="C52" s="8">
        <v>27.434920000000002</v>
      </c>
      <c r="D52" s="8">
        <v>0.36899999999999999</v>
      </c>
      <c r="E52" s="8"/>
      <c r="F52" s="8"/>
      <c r="G52" s="8"/>
      <c r="H52" s="8"/>
    </row>
    <row r="53" spans="1:8">
      <c r="A53" s="8" t="s">
        <v>150</v>
      </c>
      <c r="B53" s="8">
        <v>-15.5954</v>
      </c>
      <c r="C53" s="8">
        <v>28.01718</v>
      </c>
      <c r="D53" s="8">
        <v>0.57799999999999996</v>
      </c>
      <c r="E53" s="8"/>
      <c r="F53" s="8"/>
      <c r="G53" s="8"/>
      <c r="H53" s="8"/>
    </row>
    <row r="54" spans="1:8">
      <c r="A54" s="8" t="s">
        <v>151</v>
      </c>
      <c r="B54" s="8">
        <v>-9.8104739999999993</v>
      </c>
      <c r="C54" s="8">
        <v>27.446660000000001</v>
      </c>
      <c r="D54" s="8">
        <v>0.72099999999999997</v>
      </c>
      <c r="E54" s="8"/>
      <c r="F54" s="8"/>
      <c r="G54" s="8"/>
      <c r="H54" s="8"/>
    </row>
    <row r="55" spans="1:8">
      <c r="A55" s="8" t="s">
        <v>152</v>
      </c>
      <c r="B55" s="8">
        <v>-11.651289999999999</v>
      </c>
      <c r="C55" s="8">
        <v>27.946850000000001</v>
      </c>
      <c r="D55" s="8">
        <v>0.67700000000000005</v>
      </c>
      <c r="E55" s="8"/>
      <c r="F55" s="8"/>
      <c r="G55" s="8"/>
      <c r="H55" s="8"/>
    </row>
    <row r="56" spans="1:8">
      <c r="A56" s="8" t="s">
        <v>153</v>
      </c>
      <c r="B56" s="8">
        <v>-8.0356089999999991</v>
      </c>
      <c r="C56" s="8">
        <v>27.809650000000001</v>
      </c>
      <c r="D56" s="8">
        <v>0.77300000000000002</v>
      </c>
      <c r="E56" s="8"/>
      <c r="F56" s="8"/>
      <c r="G56" s="8"/>
      <c r="H56" s="8"/>
    </row>
    <row r="57" spans="1:8">
      <c r="A57" s="8" t="s">
        <v>154</v>
      </c>
      <c r="B57" s="8">
        <v>13.07053</v>
      </c>
      <c r="C57" s="8">
        <v>29.47334</v>
      </c>
      <c r="D57" s="8">
        <v>0.65700000000000003</v>
      </c>
      <c r="E57" s="8"/>
      <c r="F57" s="8"/>
      <c r="G57" s="8"/>
      <c r="H57" s="8"/>
    </row>
    <row r="58" spans="1:8">
      <c r="A58" s="8" t="s">
        <v>155</v>
      </c>
      <c r="B58" s="8">
        <v>-3.0771670000000002</v>
      </c>
      <c r="C58" s="8">
        <v>28.970279999999999</v>
      </c>
      <c r="D58" s="8">
        <v>0.91500000000000004</v>
      </c>
      <c r="E58" s="8"/>
      <c r="F58" s="8"/>
      <c r="G58" s="8"/>
      <c r="H58" s="8"/>
    </row>
    <row r="59" spans="1:8">
      <c r="A59" s="8" t="s">
        <v>156</v>
      </c>
      <c r="B59" s="8">
        <v>-12.651120000000001</v>
      </c>
      <c r="C59" s="8">
        <v>29.581060000000001</v>
      </c>
      <c r="D59" s="8">
        <v>0.66900000000000004</v>
      </c>
      <c r="E59" s="8"/>
      <c r="F59" s="8"/>
      <c r="G59" s="8"/>
      <c r="H59" s="8"/>
    </row>
    <row r="60" spans="1:8">
      <c r="A60" s="8" t="s">
        <v>157</v>
      </c>
      <c r="B60" s="8">
        <v>-33.000779999999999</v>
      </c>
      <c r="C60" s="8">
        <v>29.484120000000001</v>
      </c>
      <c r="D60" s="8">
        <v>0.26300000000000001</v>
      </c>
      <c r="E60" s="8"/>
      <c r="F60" s="8"/>
      <c r="G60" s="8"/>
      <c r="H60" s="8"/>
    </row>
    <row r="61" spans="1:8">
      <c r="A61" s="8" t="s">
        <v>158</v>
      </c>
      <c r="B61" s="8">
        <v>-4.1254860000000004</v>
      </c>
      <c r="C61" s="8">
        <v>30.154689999999999</v>
      </c>
      <c r="D61" s="8">
        <v>0.89100000000000001</v>
      </c>
      <c r="E61" s="8"/>
      <c r="F61" s="8"/>
      <c r="G61" s="8"/>
      <c r="H61" s="8"/>
    </row>
    <row r="62" spans="1:8">
      <c r="A62" s="8" t="s">
        <v>159</v>
      </c>
      <c r="B62" s="8">
        <v>-8.0833259999999996</v>
      </c>
      <c r="C62" s="8">
        <v>30.304549999999999</v>
      </c>
      <c r="D62" s="8">
        <v>0.79</v>
      </c>
      <c r="E62" s="8"/>
      <c r="F62" s="8"/>
      <c r="G62" s="8"/>
      <c r="H62" s="8"/>
    </row>
    <row r="63" spans="1:8">
      <c r="A63" s="8" t="s">
        <v>160</v>
      </c>
      <c r="B63" s="8">
        <v>-16.559899999999999</v>
      </c>
      <c r="C63" s="8">
        <v>31.088699999999999</v>
      </c>
      <c r="D63" s="8">
        <v>0.59399999999999997</v>
      </c>
      <c r="E63" s="8"/>
      <c r="F63" s="8"/>
      <c r="G63" s="8"/>
      <c r="H63" s="8"/>
    </row>
    <row r="64" spans="1:8">
      <c r="A64" s="8" t="s">
        <v>161</v>
      </c>
      <c r="B64" s="8">
        <v>-25.234909999999999</v>
      </c>
      <c r="C64" s="8">
        <v>32.676549999999999</v>
      </c>
      <c r="D64" s="8">
        <v>0.44</v>
      </c>
      <c r="E64" s="8"/>
      <c r="F64" s="8"/>
      <c r="G64" s="8"/>
      <c r="H64" s="8"/>
    </row>
    <row r="65" spans="1:8">
      <c r="A65" s="8" t="s">
        <v>162</v>
      </c>
      <c r="B65" s="8">
        <v>-22.680859999999999</v>
      </c>
      <c r="C65" s="8">
        <v>31.92296</v>
      </c>
      <c r="D65" s="8">
        <v>0.47699999999999998</v>
      </c>
      <c r="E65" s="8"/>
      <c r="F65" s="8"/>
      <c r="G65" s="8"/>
      <c r="H65" s="8"/>
    </row>
    <row r="66" spans="1:8">
      <c r="A66" s="8" t="s">
        <v>163</v>
      </c>
      <c r="B66" s="8">
        <v>0.3462904</v>
      </c>
      <c r="C66" s="8">
        <v>31.628050000000002</v>
      </c>
      <c r="D66" s="8">
        <v>0.99099999999999999</v>
      </c>
      <c r="E66" s="8"/>
      <c r="F66" s="8"/>
      <c r="G66" s="8"/>
      <c r="H66" s="8"/>
    </row>
    <row r="67" spans="1:8">
      <c r="A67" s="8" t="s">
        <v>164</v>
      </c>
      <c r="B67" s="8">
        <v>-34.69858</v>
      </c>
      <c r="C67" s="8">
        <v>34.05659</v>
      </c>
      <c r="D67" s="8">
        <v>0.308</v>
      </c>
      <c r="E67" s="8"/>
      <c r="F67" s="8"/>
      <c r="G67" s="8"/>
      <c r="H67" s="8"/>
    </row>
    <row r="68" spans="1:8">
      <c r="A68" s="8" t="s">
        <v>165</v>
      </c>
      <c r="B68" s="8">
        <v>-6.1764549999999998</v>
      </c>
      <c r="C68" s="8">
        <v>34.81644</v>
      </c>
      <c r="D68" s="8">
        <v>0.85899999999999999</v>
      </c>
      <c r="E68" s="8"/>
      <c r="F68" s="8"/>
      <c r="G68" s="8"/>
      <c r="H68" s="8"/>
    </row>
    <row r="69" spans="1:8">
      <c r="A69" s="8" t="s">
        <v>166</v>
      </c>
      <c r="B69" s="8">
        <v>-0.2109703</v>
      </c>
      <c r="C69" s="8">
        <v>34.873100000000001</v>
      </c>
      <c r="D69" s="8">
        <v>0.995</v>
      </c>
      <c r="E69" s="8"/>
      <c r="F69" s="8"/>
      <c r="G69" s="8"/>
      <c r="H69" s="8"/>
    </row>
    <row r="70" spans="1:8">
      <c r="A70" s="8" t="s">
        <v>167</v>
      </c>
      <c r="B70" s="8">
        <v>-7.9010129999999998</v>
      </c>
      <c r="C70" s="8">
        <v>34.119149999999998</v>
      </c>
      <c r="D70" s="8">
        <v>0.81699999999999995</v>
      </c>
      <c r="E70" s="8"/>
      <c r="F70" s="8"/>
      <c r="G70" s="8"/>
      <c r="H70" s="8"/>
    </row>
    <row r="71" spans="1:8">
      <c r="A71" s="8" t="s">
        <v>168</v>
      </c>
      <c r="B71" s="8">
        <v>6.853472</v>
      </c>
      <c r="C71" s="8">
        <v>38.492280000000001</v>
      </c>
      <c r="D71" s="8">
        <v>0.85899999999999999</v>
      </c>
      <c r="E71" s="8"/>
      <c r="F71" s="8"/>
      <c r="G71" s="8"/>
      <c r="H71" s="8"/>
    </row>
    <row r="72" spans="1:8">
      <c r="A72" s="8" t="s">
        <v>169</v>
      </c>
      <c r="B72" s="8">
        <v>6.0877730000000003</v>
      </c>
      <c r="C72" s="8">
        <v>34.88156</v>
      </c>
      <c r="D72" s="8">
        <v>0.86099999999999999</v>
      </c>
      <c r="E72" s="8"/>
      <c r="F72" s="8"/>
      <c r="G72" s="8"/>
      <c r="H72" s="8"/>
    </row>
    <row r="73" spans="1:8">
      <c r="A73" s="8" t="s">
        <v>170</v>
      </c>
      <c r="B73" s="8">
        <v>26.505939999999999</v>
      </c>
      <c r="C73" s="8">
        <v>37.841999999999999</v>
      </c>
      <c r="D73" s="8">
        <v>0.48399999999999999</v>
      </c>
      <c r="E73" s="8"/>
      <c r="F73" s="8"/>
      <c r="G73" s="8"/>
      <c r="H73" s="8"/>
    </row>
    <row r="74" spans="1:8">
      <c r="A74" s="8" t="s">
        <v>171</v>
      </c>
      <c r="B74" s="8">
        <v>0</v>
      </c>
      <c r="C74" s="8" t="s">
        <v>98</v>
      </c>
      <c r="D74" s="8"/>
      <c r="E74" s="8"/>
      <c r="F74" s="8"/>
      <c r="G74" s="8"/>
      <c r="H74" s="8"/>
    </row>
    <row r="75" spans="1:8">
      <c r="A75" s="8" t="s">
        <v>172</v>
      </c>
      <c r="B75" s="8">
        <v>3.853272</v>
      </c>
      <c r="C75" s="8">
        <v>36.767530000000001</v>
      </c>
      <c r="D75" s="8">
        <v>0.91700000000000004</v>
      </c>
      <c r="E75" s="8"/>
      <c r="F75" s="8"/>
      <c r="G75" s="8"/>
      <c r="H75" s="8"/>
    </row>
    <row r="76" spans="1:8">
      <c r="A76" s="8" t="s">
        <v>43</v>
      </c>
      <c r="B76" s="8">
        <v>0</v>
      </c>
      <c r="C76" s="8" t="s">
        <v>98</v>
      </c>
      <c r="D76" s="8"/>
      <c r="E76" s="8"/>
      <c r="F76" s="8"/>
      <c r="G76" s="8"/>
      <c r="H76" s="8"/>
    </row>
    <row r="77" spans="1:8">
      <c r="A77" s="8" t="s">
        <v>173</v>
      </c>
      <c r="B77" s="8">
        <v>0.85638890000000001</v>
      </c>
      <c r="C77" s="8">
        <v>4.5745820000000004</v>
      </c>
      <c r="D77" s="8">
        <v>0.85199999999999998</v>
      </c>
      <c r="E77" s="8"/>
      <c r="F77" s="8"/>
      <c r="G77" s="8"/>
      <c r="H77" s="8"/>
    </row>
    <row r="78" spans="1:8">
      <c r="A78" s="8" t="s">
        <v>174</v>
      </c>
      <c r="B78" s="8">
        <v>1.495949</v>
      </c>
      <c r="C78" s="8">
        <v>3.8073670000000002</v>
      </c>
      <c r="D78" s="8">
        <v>0.69399999999999995</v>
      </c>
      <c r="E78" s="8"/>
      <c r="F78" s="8"/>
      <c r="G78" s="8"/>
      <c r="H78" s="8"/>
    </row>
    <row r="79" spans="1:8">
      <c r="A79" s="8" t="s">
        <v>175</v>
      </c>
      <c r="B79" s="8">
        <v>2.1104370000000001</v>
      </c>
      <c r="C79" s="8">
        <v>3.6791149999999999</v>
      </c>
      <c r="D79" s="8">
        <v>0.56599999999999995</v>
      </c>
      <c r="E79" s="8"/>
      <c r="F79" s="8"/>
      <c r="G79" s="8"/>
      <c r="H79" s="8"/>
    </row>
    <row r="80" spans="1:8">
      <c r="A80" s="8" t="s">
        <v>176</v>
      </c>
      <c r="B80" s="8">
        <v>1.569475</v>
      </c>
      <c r="C80" s="8">
        <v>3.6873290000000001</v>
      </c>
      <c r="D80" s="8">
        <v>0.67</v>
      </c>
      <c r="E80" s="8"/>
      <c r="F80" s="8"/>
      <c r="G80" s="8"/>
      <c r="H80" s="8"/>
    </row>
    <row r="81" spans="1:8">
      <c r="A81" s="8" t="s">
        <v>177</v>
      </c>
      <c r="B81" s="8">
        <v>2.5979410000000001</v>
      </c>
      <c r="C81" s="8">
        <v>3.6375549999999999</v>
      </c>
      <c r="D81" s="8">
        <v>0.47499999999999998</v>
      </c>
      <c r="E81" s="8"/>
      <c r="F81" s="8"/>
      <c r="G81" s="8"/>
      <c r="H81" s="8"/>
    </row>
    <row r="82" spans="1:8">
      <c r="A82" s="8" t="s">
        <v>178</v>
      </c>
      <c r="B82" s="8">
        <v>2.4259650000000001</v>
      </c>
      <c r="C82" s="8">
        <v>3.6683300000000001</v>
      </c>
      <c r="D82" s="8">
        <v>0.50800000000000001</v>
      </c>
      <c r="E82" s="8"/>
      <c r="F82" s="8"/>
      <c r="G82" s="8"/>
      <c r="H82" s="8"/>
    </row>
    <row r="83" spans="1:8">
      <c r="A83" s="8" t="s">
        <v>179</v>
      </c>
      <c r="B83" s="8">
        <v>2.032054</v>
      </c>
      <c r="C83" s="8">
        <v>3.601928</v>
      </c>
      <c r="D83" s="8">
        <v>0.57299999999999995</v>
      </c>
      <c r="E83" s="8"/>
      <c r="F83" s="8"/>
      <c r="G83" s="8"/>
      <c r="H83" s="8"/>
    </row>
    <row r="84" spans="1:8">
      <c r="A84" s="8" t="s">
        <v>180</v>
      </c>
      <c r="B84" s="8">
        <v>3.2642799999999998</v>
      </c>
      <c r="C84" s="8">
        <v>3.6066090000000002</v>
      </c>
      <c r="D84" s="8">
        <v>0.36499999999999999</v>
      </c>
      <c r="E84" s="8"/>
      <c r="F84" s="8"/>
      <c r="G84" s="8"/>
      <c r="H84" s="8"/>
    </row>
    <row r="85" spans="1:8">
      <c r="A85" s="8" t="s">
        <v>181</v>
      </c>
      <c r="B85" s="8">
        <v>3.413246</v>
      </c>
      <c r="C85" s="8">
        <v>3.6258379999999999</v>
      </c>
      <c r="D85" s="8">
        <v>0.34699999999999998</v>
      </c>
      <c r="E85" s="8"/>
      <c r="F85" s="8"/>
      <c r="G85" s="8"/>
      <c r="H85" s="8"/>
    </row>
    <row r="86" spans="1:8">
      <c r="A86" s="8" t="s">
        <v>182</v>
      </c>
      <c r="B86" s="8">
        <v>2.9084669999999999</v>
      </c>
      <c r="C86" s="8">
        <v>3.59341</v>
      </c>
      <c r="D86" s="8">
        <v>0.41799999999999998</v>
      </c>
      <c r="E86" s="8"/>
      <c r="F86" s="8"/>
      <c r="G86" s="8"/>
      <c r="H86" s="8"/>
    </row>
    <row r="87" spans="1:8">
      <c r="A87" s="8" t="s">
        <v>183</v>
      </c>
      <c r="B87" s="8">
        <v>2.3367059999999999</v>
      </c>
      <c r="C87" s="8">
        <v>3.5863149999999999</v>
      </c>
      <c r="D87" s="8">
        <v>0.51500000000000001</v>
      </c>
      <c r="E87" s="8"/>
      <c r="F87" s="8"/>
      <c r="G87" s="8"/>
      <c r="H87" s="8"/>
    </row>
    <row r="88" spans="1:8">
      <c r="A88" s="8" t="s">
        <v>184</v>
      </c>
      <c r="B88" s="8">
        <v>2.830492</v>
      </c>
      <c r="C88" s="8">
        <v>3.6278510000000002</v>
      </c>
      <c r="D88" s="8">
        <v>0.435</v>
      </c>
      <c r="E88" s="8"/>
      <c r="F88" s="8"/>
      <c r="G88" s="8"/>
      <c r="H88" s="8"/>
    </row>
    <row r="89" spans="1:8">
      <c r="A89" s="8" t="s">
        <v>185</v>
      </c>
      <c r="B89" s="8">
        <v>3.3167759999999999</v>
      </c>
      <c r="C89" s="8">
        <v>3.5914190000000001</v>
      </c>
      <c r="D89" s="8">
        <v>0.35599999999999998</v>
      </c>
      <c r="E89" s="8"/>
      <c r="F89" s="8"/>
      <c r="G89" s="8"/>
      <c r="H89" s="8"/>
    </row>
    <row r="90" spans="1:8">
      <c r="A90" s="8" t="s">
        <v>186</v>
      </c>
      <c r="B90" s="8">
        <v>3.6297380000000001</v>
      </c>
      <c r="C90" s="8">
        <v>3.5797829999999999</v>
      </c>
      <c r="D90" s="8">
        <v>0.311</v>
      </c>
      <c r="E90" s="8"/>
      <c r="F90" s="8"/>
      <c r="G90" s="8"/>
      <c r="H90" s="8"/>
    </row>
    <row r="91" spans="1:8">
      <c r="A91" s="8" t="s">
        <v>187</v>
      </c>
      <c r="B91" s="8">
        <v>2.4657659999999999</v>
      </c>
      <c r="C91" s="8">
        <v>3.5802269999999998</v>
      </c>
      <c r="D91" s="8">
        <v>0.49099999999999999</v>
      </c>
      <c r="E91" s="8"/>
      <c r="F91" s="8"/>
      <c r="G91" s="8"/>
      <c r="H91" s="8"/>
    </row>
    <row r="92" spans="1:8">
      <c r="A92" s="8" t="s">
        <v>188</v>
      </c>
      <c r="B92" s="8">
        <v>3.1850309999999999</v>
      </c>
      <c r="C92" s="8">
        <v>3.5833889999999999</v>
      </c>
      <c r="D92" s="8">
        <v>0.374</v>
      </c>
      <c r="E92" s="8"/>
      <c r="F92" s="8"/>
      <c r="G92" s="8"/>
      <c r="H92" s="8"/>
    </row>
    <row r="93" spans="1:8">
      <c r="A93" s="8" t="s">
        <v>189</v>
      </c>
      <c r="B93" s="8">
        <v>2.6435559999999998</v>
      </c>
      <c r="C93" s="8">
        <v>3.5847329999999999</v>
      </c>
      <c r="D93" s="8">
        <v>0.46100000000000002</v>
      </c>
      <c r="E93" s="8"/>
      <c r="F93" s="8"/>
      <c r="G93" s="8"/>
      <c r="H93" s="8"/>
    </row>
    <row r="94" spans="1:8">
      <c r="A94" s="8" t="s">
        <v>190</v>
      </c>
      <c r="B94" s="8">
        <v>3.4288479999999999</v>
      </c>
      <c r="C94" s="8">
        <v>3.584578</v>
      </c>
      <c r="D94" s="8">
        <v>0.33900000000000002</v>
      </c>
      <c r="E94" s="8"/>
      <c r="F94" s="8"/>
      <c r="G94" s="8"/>
      <c r="H94" s="8"/>
    </row>
    <row r="95" spans="1:8">
      <c r="A95" s="8" t="s">
        <v>191</v>
      </c>
      <c r="B95" s="8">
        <v>3.5296069999999999</v>
      </c>
      <c r="C95" s="8">
        <v>3.5840510000000001</v>
      </c>
      <c r="D95" s="8">
        <v>0.32500000000000001</v>
      </c>
      <c r="E95" s="8"/>
      <c r="F95" s="8"/>
      <c r="G95" s="8"/>
      <c r="H95" s="8"/>
    </row>
    <row r="96" spans="1:8">
      <c r="A96" s="8" t="s">
        <v>192</v>
      </c>
      <c r="B96" s="8">
        <v>3.2124259999999998</v>
      </c>
      <c r="C96" s="8">
        <v>3.592587</v>
      </c>
      <c r="D96" s="8">
        <v>0.371</v>
      </c>
      <c r="E96" s="8"/>
      <c r="F96" s="8"/>
      <c r="G96" s="8"/>
      <c r="H96" s="8"/>
    </row>
    <row r="97" spans="1:8">
      <c r="A97" s="8" t="s">
        <v>193</v>
      </c>
      <c r="B97" s="8">
        <v>3.5353810000000001</v>
      </c>
      <c r="C97" s="8">
        <v>3.5913599999999999</v>
      </c>
      <c r="D97" s="8">
        <v>0.32500000000000001</v>
      </c>
      <c r="E97" s="8"/>
      <c r="F97" s="8"/>
      <c r="G97" s="8"/>
      <c r="H97" s="8"/>
    </row>
    <row r="98" spans="1:8">
      <c r="A98" s="8" t="s">
        <v>194</v>
      </c>
      <c r="B98" s="8">
        <v>2.576165</v>
      </c>
      <c r="C98" s="8">
        <v>3.5885940000000001</v>
      </c>
      <c r="D98" s="8">
        <v>0.47299999999999998</v>
      </c>
      <c r="E98" s="8"/>
      <c r="F98" s="8"/>
      <c r="G98" s="8"/>
      <c r="H98" s="8"/>
    </row>
    <row r="99" spans="1:8">
      <c r="A99" s="8" t="s">
        <v>195</v>
      </c>
      <c r="B99" s="8">
        <v>1.849715</v>
      </c>
      <c r="C99" s="8">
        <v>3.5936680000000001</v>
      </c>
      <c r="D99" s="8">
        <v>0.60699999999999998</v>
      </c>
      <c r="E99" s="8"/>
      <c r="F99" s="8"/>
      <c r="G99" s="8"/>
      <c r="H99" s="8"/>
    </row>
    <row r="100" spans="1:8">
      <c r="A100" s="8" t="s">
        <v>196</v>
      </c>
      <c r="B100" s="8">
        <v>3.9623409999999999</v>
      </c>
      <c r="C100" s="8">
        <v>3.6029429999999998</v>
      </c>
      <c r="D100" s="8">
        <v>0.27200000000000002</v>
      </c>
      <c r="E100" s="8"/>
      <c r="F100" s="8"/>
      <c r="G100" s="8"/>
      <c r="H100" s="8"/>
    </row>
    <row r="101" spans="1:8">
      <c r="A101" s="8" t="s">
        <v>197</v>
      </c>
      <c r="B101" s="8">
        <v>3.1482869999999998</v>
      </c>
      <c r="C101" s="8">
        <v>3.6201560000000002</v>
      </c>
      <c r="D101" s="8">
        <v>0.38500000000000001</v>
      </c>
      <c r="E101" s="8"/>
      <c r="F101" s="8"/>
      <c r="G101" s="8"/>
      <c r="H101" s="8"/>
    </row>
    <row r="102" spans="1:8">
      <c r="A102" s="8" t="s">
        <v>198</v>
      </c>
      <c r="B102" s="8">
        <v>2.303601</v>
      </c>
      <c r="C102" s="8">
        <v>3.5829580000000001</v>
      </c>
      <c r="D102" s="8">
        <v>0.52</v>
      </c>
      <c r="E102" s="8"/>
      <c r="F102" s="8"/>
      <c r="G102" s="8"/>
      <c r="H102" s="8"/>
    </row>
    <row r="103" spans="1:8">
      <c r="A103" s="8" t="s">
        <v>199</v>
      </c>
      <c r="B103" s="8">
        <v>1.9810449999999999</v>
      </c>
      <c r="C103" s="8">
        <v>3.5915810000000001</v>
      </c>
      <c r="D103" s="8">
        <v>0.58099999999999996</v>
      </c>
      <c r="E103" s="8"/>
      <c r="F103" s="8"/>
      <c r="G103" s="8"/>
      <c r="H103" s="8"/>
    </row>
    <row r="104" spans="1:8">
      <c r="A104" s="8" t="s">
        <v>200</v>
      </c>
      <c r="B104" s="8">
        <v>2.8913340000000001</v>
      </c>
      <c r="C104" s="8">
        <v>3.5972439999999999</v>
      </c>
      <c r="D104" s="8">
        <v>0.42199999999999999</v>
      </c>
      <c r="E104" s="8"/>
      <c r="F104" s="8"/>
      <c r="G104" s="8"/>
      <c r="H104" s="8"/>
    </row>
    <row r="105" spans="1:8">
      <c r="A105" s="8" t="s">
        <v>201</v>
      </c>
      <c r="B105" s="8">
        <v>1.1840040000000001</v>
      </c>
      <c r="C105" s="8">
        <v>3.5827550000000001</v>
      </c>
      <c r="D105" s="8">
        <v>0.74099999999999999</v>
      </c>
      <c r="E105" s="8"/>
      <c r="F105" s="8"/>
      <c r="G105" s="8"/>
      <c r="H105" s="8"/>
    </row>
    <row r="106" spans="1:8">
      <c r="A106" s="8" t="s">
        <v>202</v>
      </c>
      <c r="B106" s="8">
        <v>3.298651</v>
      </c>
      <c r="C106" s="8">
        <v>3.6018189999999999</v>
      </c>
      <c r="D106" s="8">
        <v>0.36</v>
      </c>
      <c r="E106" s="8"/>
      <c r="F106" s="8"/>
      <c r="G106" s="8"/>
      <c r="H106" s="8"/>
    </row>
    <row r="107" spans="1:8">
      <c r="A107" s="8" t="s">
        <v>203</v>
      </c>
      <c r="B107" s="8">
        <v>2.8721920000000001</v>
      </c>
      <c r="C107" s="8">
        <v>3.5827089999999999</v>
      </c>
      <c r="D107" s="8">
        <v>0.42299999999999999</v>
      </c>
      <c r="E107" s="8"/>
      <c r="F107" s="8"/>
      <c r="G107" s="8"/>
      <c r="H107" s="8"/>
    </row>
    <row r="108" spans="1:8">
      <c r="A108" s="8" t="s">
        <v>204</v>
      </c>
      <c r="B108" s="8">
        <v>2.6170179999999998</v>
      </c>
      <c r="C108" s="8">
        <v>3.5840360000000002</v>
      </c>
      <c r="D108" s="8">
        <v>0.46500000000000002</v>
      </c>
      <c r="E108" s="8"/>
      <c r="F108" s="8"/>
      <c r="G108" s="8"/>
      <c r="H108" s="8"/>
    </row>
    <row r="109" spans="1:8">
      <c r="A109" s="8" t="s">
        <v>205</v>
      </c>
      <c r="B109" s="8">
        <v>2.8591419999999999</v>
      </c>
      <c r="C109" s="8">
        <v>3.575688</v>
      </c>
      <c r="D109" s="8">
        <v>0.42399999999999999</v>
      </c>
      <c r="E109" s="8"/>
      <c r="F109" s="8"/>
      <c r="G109" s="8"/>
      <c r="H109" s="8"/>
    </row>
    <row r="110" spans="1:8">
      <c r="A110" s="8" t="s">
        <v>206</v>
      </c>
      <c r="B110" s="8">
        <v>2.9729890000000001</v>
      </c>
      <c r="C110" s="8">
        <v>3.6058219999999999</v>
      </c>
      <c r="D110" s="8">
        <v>0.41</v>
      </c>
      <c r="E110" s="8"/>
      <c r="F110" s="8"/>
      <c r="G110" s="8"/>
      <c r="H110" s="8"/>
    </row>
    <row r="111" spans="1:8">
      <c r="A111" s="8" t="s">
        <v>207</v>
      </c>
      <c r="B111" s="8">
        <v>1.746084</v>
      </c>
      <c r="C111" s="8">
        <v>3.6054059999999999</v>
      </c>
      <c r="D111" s="8">
        <v>0.628</v>
      </c>
      <c r="E111" s="8"/>
      <c r="F111" s="8"/>
      <c r="G111" s="8"/>
      <c r="H111" s="8"/>
    </row>
    <row r="112" spans="1:8">
      <c r="A112" s="8" t="s">
        <v>208</v>
      </c>
      <c r="B112" s="8">
        <v>2.610357</v>
      </c>
      <c r="C112" s="8">
        <v>3.581493</v>
      </c>
      <c r="D112" s="8">
        <v>0.46600000000000003</v>
      </c>
      <c r="E112" s="8"/>
      <c r="F112" s="8"/>
      <c r="G112" s="8"/>
      <c r="H112" s="8"/>
    </row>
    <row r="113" spans="1:8">
      <c r="A113" s="8" t="s">
        <v>209</v>
      </c>
      <c r="B113" s="8">
        <v>3.3329569999999999</v>
      </c>
      <c r="C113" s="8">
        <v>3.582303</v>
      </c>
      <c r="D113" s="8">
        <v>0.35199999999999998</v>
      </c>
      <c r="E113" s="8"/>
      <c r="F113" s="8"/>
      <c r="G113" s="8"/>
      <c r="H113" s="8"/>
    </row>
    <row r="114" spans="1:8">
      <c r="A114" s="8" t="s">
        <v>210</v>
      </c>
      <c r="B114" s="8">
        <v>1.651044</v>
      </c>
      <c r="C114" s="8">
        <v>3.5849220000000002</v>
      </c>
      <c r="D114" s="8">
        <v>0.64500000000000002</v>
      </c>
      <c r="E114" s="8"/>
      <c r="F114" s="8"/>
      <c r="G114" s="8"/>
      <c r="H114" s="8"/>
    </row>
    <row r="115" spans="1:8">
      <c r="A115" s="8" t="s">
        <v>211</v>
      </c>
      <c r="B115" s="8">
        <v>3.1959659999999999</v>
      </c>
      <c r="C115" s="8">
        <v>3.5883250000000002</v>
      </c>
      <c r="D115" s="8">
        <v>0.373</v>
      </c>
      <c r="E115" s="8"/>
      <c r="F115" s="8"/>
      <c r="G115" s="8"/>
      <c r="H115" s="8"/>
    </row>
    <row r="116" spans="1:8">
      <c r="A116" s="8" t="s">
        <v>212</v>
      </c>
      <c r="B116" s="8">
        <v>3.0779489999999998</v>
      </c>
      <c r="C116" s="8">
        <v>3.597785</v>
      </c>
      <c r="D116" s="8">
        <v>0.39200000000000002</v>
      </c>
      <c r="E116" s="8"/>
      <c r="F116" s="8"/>
      <c r="G116" s="8"/>
      <c r="H116" s="8"/>
    </row>
    <row r="117" spans="1:8">
      <c r="A117" s="8" t="s">
        <v>213</v>
      </c>
      <c r="B117" s="8">
        <v>2.8193809999999999</v>
      </c>
      <c r="C117" s="8">
        <v>3.5902560000000001</v>
      </c>
      <c r="D117" s="8">
        <v>0.432</v>
      </c>
      <c r="E117" s="8"/>
      <c r="F117" s="8"/>
      <c r="G117" s="8"/>
      <c r="H117" s="8"/>
    </row>
    <row r="118" spans="1:8">
      <c r="A118" s="8" t="s">
        <v>214</v>
      </c>
      <c r="B118" s="8">
        <v>3.0257520000000002</v>
      </c>
      <c r="C118" s="8">
        <v>3.5864980000000002</v>
      </c>
      <c r="D118" s="8">
        <v>0.39900000000000002</v>
      </c>
      <c r="E118" s="8"/>
      <c r="F118" s="8"/>
      <c r="G118" s="8"/>
      <c r="H118" s="8"/>
    </row>
    <row r="119" spans="1:8">
      <c r="A119" s="8" t="s">
        <v>215</v>
      </c>
      <c r="B119" s="8">
        <v>3.1599219999999999</v>
      </c>
      <c r="C119" s="8">
        <v>3.5807000000000002</v>
      </c>
      <c r="D119" s="8">
        <v>0.378</v>
      </c>
      <c r="E119" s="8"/>
      <c r="F119" s="8"/>
      <c r="G119" s="8"/>
      <c r="H119" s="8"/>
    </row>
    <row r="120" spans="1:8">
      <c r="A120" s="8" t="s">
        <v>216</v>
      </c>
      <c r="B120" s="8">
        <v>4.8638149999999998</v>
      </c>
      <c r="C120" s="8">
        <v>3.6055329999999999</v>
      </c>
      <c r="D120" s="8">
        <v>0.17699999999999999</v>
      </c>
      <c r="E120" s="8"/>
      <c r="F120" s="8"/>
      <c r="G120" s="8"/>
      <c r="H120" s="8"/>
    </row>
    <row r="121" spans="1:8">
      <c r="A121" s="8" t="s">
        <v>217</v>
      </c>
      <c r="B121" s="8">
        <v>2.888188</v>
      </c>
      <c r="C121" s="8">
        <v>3.6216110000000001</v>
      </c>
      <c r="D121" s="8">
        <v>0.42499999999999999</v>
      </c>
      <c r="E121" s="8"/>
      <c r="F121" s="8"/>
      <c r="G121" s="8"/>
      <c r="H121" s="8"/>
    </row>
    <row r="122" spans="1:8">
      <c r="A122" s="8" t="s">
        <v>218</v>
      </c>
      <c r="B122" s="8">
        <v>3.1763059999999999</v>
      </c>
      <c r="C122" s="8">
        <v>3.585359</v>
      </c>
      <c r="D122" s="8">
        <v>0.376</v>
      </c>
      <c r="E122" s="8"/>
      <c r="F122" s="8"/>
      <c r="G122" s="8"/>
      <c r="H122" s="8"/>
    </row>
    <row r="123" spans="1:8">
      <c r="A123" s="8" t="s">
        <v>219</v>
      </c>
      <c r="B123" s="8">
        <v>2.0548959999999998</v>
      </c>
      <c r="C123" s="8">
        <v>3.5970979999999999</v>
      </c>
      <c r="D123" s="8">
        <v>0.56799999999999995</v>
      </c>
      <c r="E123" s="8"/>
      <c r="F123" s="8"/>
      <c r="G123" s="8"/>
      <c r="H123" s="8"/>
    </row>
    <row r="124" spans="1:8">
      <c r="A124" s="8" t="s">
        <v>220</v>
      </c>
      <c r="B124" s="8">
        <v>3.6699959999999998</v>
      </c>
      <c r="C124" s="8">
        <v>3.5901930000000002</v>
      </c>
      <c r="D124" s="8">
        <v>0.307</v>
      </c>
      <c r="E124" s="8"/>
      <c r="F124" s="8"/>
      <c r="G124" s="8"/>
      <c r="H124" s="8"/>
    </row>
    <row r="125" spans="1:8">
      <c r="A125" s="8" t="s">
        <v>221</v>
      </c>
      <c r="B125" s="8">
        <v>3.183897</v>
      </c>
      <c r="C125" s="8">
        <v>3.6041310000000002</v>
      </c>
      <c r="D125" s="8">
        <v>0.377</v>
      </c>
      <c r="E125" s="8"/>
      <c r="F125" s="8"/>
      <c r="G125" s="8"/>
      <c r="H125" s="8"/>
    </row>
    <row r="126" spans="1:8">
      <c r="A126" s="8" t="s">
        <v>222</v>
      </c>
      <c r="B126" s="8">
        <v>2.5814889999999999</v>
      </c>
      <c r="C126" s="8">
        <v>3.579539</v>
      </c>
      <c r="D126" s="8">
        <v>0.47099999999999997</v>
      </c>
      <c r="E126" s="8"/>
      <c r="F126" s="8"/>
      <c r="G126" s="8"/>
      <c r="H126" s="8"/>
    </row>
    <row r="127" spans="1:8">
      <c r="A127" s="8" t="s">
        <v>223</v>
      </c>
      <c r="B127" s="8">
        <v>2.8117489999999998</v>
      </c>
      <c r="C127" s="8">
        <v>3.5893169999999999</v>
      </c>
      <c r="D127" s="8">
        <v>0.433</v>
      </c>
      <c r="E127" s="8"/>
      <c r="F127" s="8"/>
      <c r="G127" s="8"/>
      <c r="H127" s="8"/>
    </row>
    <row r="128" spans="1:8">
      <c r="A128" s="8" t="s">
        <v>224</v>
      </c>
      <c r="B128" s="8">
        <v>2.546049</v>
      </c>
      <c r="C128" s="8">
        <v>3.5782940000000001</v>
      </c>
      <c r="D128" s="8">
        <v>0.47699999999999998</v>
      </c>
      <c r="E128" s="8"/>
      <c r="F128" s="8"/>
      <c r="G128" s="8"/>
      <c r="H128" s="8"/>
    </row>
    <row r="129" spans="1:8">
      <c r="A129" s="8" t="s">
        <v>225</v>
      </c>
      <c r="B129" s="8">
        <v>1.264438</v>
      </c>
      <c r="C129" s="8">
        <v>3.6308940000000001</v>
      </c>
      <c r="D129" s="8">
        <v>0.72799999999999998</v>
      </c>
      <c r="E129" s="8"/>
      <c r="F129" s="8"/>
      <c r="G129" s="8"/>
      <c r="H129" s="8"/>
    </row>
    <row r="130" spans="1:8">
      <c r="A130" s="8" t="s">
        <v>226</v>
      </c>
      <c r="B130" s="8">
        <v>2.3531399999999998</v>
      </c>
      <c r="C130" s="8">
        <v>3.5999590000000001</v>
      </c>
      <c r="D130" s="8">
        <v>0.51300000000000001</v>
      </c>
      <c r="E130" s="8"/>
      <c r="F130" s="8"/>
      <c r="G130" s="8"/>
      <c r="H130" s="8"/>
    </row>
    <row r="131" spans="1:8">
      <c r="A131" s="8" t="s">
        <v>227</v>
      </c>
      <c r="B131" s="8">
        <v>3.0586159999999998</v>
      </c>
      <c r="C131" s="8">
        <v>3.6090559999999998</v>
      </c>
      <c r="D131" s="8">
        <v>0.39700000000000002</v>
      </c>
      <c r="E131" s="8"/>
      <c r="F131" s="8"/>
      <c r="G131" s="8"/>
      <c r="H131" s="8"/>
    </row>
    <row r="132" spans="1:8">
      <c r="A132" s="8" t="s">
        <v>228</v>
      </c>
      <c r="B132" s="8">
        <v>4.6005070000000003</v>
      </c>
      <c r="C132" s="8">
        <v>3.5988319999999998</v>
      </c>
      <c r="D132" s="8">
        <v>0.20100000000000001</v>
      </c>
      <c r="E132" s="8"/>
      <c r="F132" s="8"/>
      <c r="G132" s="8"/>
      <c r="H132" s="8"/>
    </row>
    <row r="133" spans="1:8">
      <c r="A133" s="8" t="s">
        <v>229</v>
      </c>
      <c r="B133" s="8">
        <v>2.395966</v>
      </c>
      <c r="C133" s="8">
        <v>3.6185619999999998</v>
      </c>
      <c r="D133" s="8">
        <v>0.50800000000000001</v>
      </c>
      <c r="E133" s="8"/>
      <c r="F133" s="8"/>
      <c r="G133" s="8"/>
      <c r="H133" s="8"/>
    </row>
    <row r="134" spans="1:8">
      <c r="A134" s="8" t="s">
        <v>230</v>
      </c>
      <c r="B134" s="8">
        <v>2.9107720000000001</v>
      </c>
      <c r="C134" s="8">
        <v>3.6069719999999998</v>
      </c>
      <c r="D134" s="8">
        <v>0.42</v>
      </c>
      <c r="E134" s="8"/>
      <c r="F134" s="8"/>
      <c r="G134" s="8"/>
      <c r="H134" s="8"/>
    </row>
    <row r="135" spans="1:8">
      <c r="A135" s="8" t="s">
        <v>231</v>
      </c>
      <c r="B135" s="8">
        <v>3.3683640000000001</v>
      </c>
      <c r="C135" s="8">
        <v>3.6346539999999998</v>
      </c>
      <c r="D135" s="8">
        <v>0.35399999999999998</v>
      </c>
      <c r="E135" s="8"/>
      <c r="F135" s="8"/>
      <c r="G135" s="8"/>
      <c r="H135" s="8"/>
    </row>
    <row r="136" spans="1:8">
      <c r="A136" s="8" t="s">
        <v>232</v>
      </c>
      <c r="B136" s="8">
        <v>4.3372190000000002</v>
      </c>
      <c r="C136" s="8">
        <v>3.6903779999999999</v>
      </c>
      <c r="D136" s="8">
        <v>0.24</v>
      </c>
      <c r="E136" s="8"/>
      <c r="F136" s="8"/>
      <c r="G136" s="8"/>
      <c r="H136" s="8"/>
    </row>
    <row r="137" spans="1:8">
      <c r="A137" s="8" t="s">
        <v>233</v>
      </c>
      <c r="B137" s="8">
        <v>3.865863</v>
      </c>
      <c r="C137" s="8">
        <v>3.6307459999999998</v>
      </c>
      <c r="D137" s="8">
        <v>0.28699999999999998</v>
      </c>
      <c r="E137" s="8"/>
      <c r="F137" s="8"/>
      <c r="G137" s="8"/>
      <c r="H137" s="8"/>
    </row>
    <row r="138" spans="1:8">
      <c r="A138" s="8" t="s">
        <v>234</v>
      </c>
      <c r="B138" s="8">
        <v>2.418393</v>
      </c>
      <c r="C138" s="8">
        <v>3.6276280000000001</v>
      </c>
      <c r="D138" s="8">
        <v>0.505</v>
      </c>
      <c r="E138" s="8"/>
      <c r="F138" s="8"/>
      <c r="G138" s="8"/>
      <c r="H138" s="8"/>
    </row>
    <row r="139" spans="1:8">
      <c r="A139" s="8" t="s">
        <v>235</v>
      </c>
      <c r="B139" s="8">
        <v>4.7260489999999997</v>
      </c>
      <c r="C139" s="8">
        <v>3.6875200000000001</v>
      </c>
      <c r="D139" s="8">
        <v>0.2</v>
      </c>
      <c r="E139" s="8"/>
      <c r="F139" s="8"/>
      <c r="G139" s="8"/>
      <c r="H139" s="8"/>
    </row>
    <row r="140" spans="1:8">
      <c r="A140" s="8" t="s">
        <v>236</v>
      </c>
      <c r="B140" s="8">
        <v>2.822222</v>
      </c>
      <c r="C140" s="8">
        <v>3.7316769999999999</v>
      </c>
      <c r="D140" s="8">
        <v>0.45</v>
      </c>
      <c r="E140" s="8"/>
      <c r="F140" s="8"/>
      <c r="G140" s="8"/>
      <c r="H140" s="8"/>
    </row>
    <row r="141" spans="1:8">
      <c r="A141" s="8" t="s">
        <v>237</v>
      </c>
      <c r="B141" s="8">
        <v>1.8176570000000001</v>
      </c>
      <c r="C141" s="8">
        <v>3.7070889999999999</v>
      </c>
      <c r="D141" s="8">
        <v>0.624</v>
      </c>
      <c r="E141" s="8"/>
      <c r="F141" s="8"/>
      <c r="G141" s="8"/>
      <c r="H141" s="8"/>
    </row>
    <row r="142" spans="1:8">
      <c r="A142" s="8" t="s">
        <v>238</v>
      </c>
      <c r="B142" s="8">
        <v>3.1108720000000001</v>
      </c>
      <c r="C142" s="8">
        <v>3.6567560000000001</v>
      </c>
      <c r="D142" s="8">
        <v>0.39500000000000002</v>
      </c>
      <c r="E142" s="8"/>
      <c r="F142" s="8"/>
      <c r="G142" s="8"/>
      <c r="H142" s="8"/>
    </row>
    <row r="143" spans="1:8">
      <c r="A143" s="8" t="s">
        <v>239</v>
      </c>
      <c r="B143" s="8">
        <v>2.3497699999999999</v>
      </c>
      <c r="C143" s="8">
        <v>3.8177490000000001</v>
      </c>
      <c r="D143" s="8">
        <v>0.53800000000000003</v>
      </c>
      <c r="E143" s="8"/>
      <c r="F143" s="8"/>
      <c r="G143" s="8"/>
      <c r="H143" s="8"/>
    </row>
    <row r="144" spans="1:8">
      <c r="A144" s="8" t="s">
        <v>240</v>
      </c>
      <c r="B144" s="8">
        <v>2.21407</v>
      </c>
      <c r="C144" s="8">
        <v>3.6851919999999998</v>
      </c>
      <c r="D144" s="8">
        <v>0.54800000000000004</v>
      </c>
      <c r="E144" s="8"/>
      <c r="F144" s="8"/>
      <c r="G144" s="8"/>
      <c r="H144" s="8"/>
    </row>
    <row r="145" spans="1:8">
      <c r="A145" s="8" t="s">
        <v>241</v>
      </c>
      <c r="B145" s="8">
        <v>-0.1264083</v>
      </c>
      <c r="C145" s="8">
        <v>3.8737659999999998</v>
      </c>
      <c r="D145" s="8">
        <v>0.97399999999999998</v>
      </c>
      <c r="E145" s="8"/>
      <c r="F145" s="8"/>
      <c r="G145" s="8"/>
      <c r="H145" s="8"/>
    </row>
    <row r="146" spans="1:8">
      <c r="A146" s="8" t="s">
        <v>242</v>
      </c>
      <c r="B146" s="8">
        <v>2.7245370000000002</v>
      </c>
      <c r="C146" s="8">
        <v>4.2105949999999996</v>
      </c>
      <c r="D146" s="8">
        <v>0.51800000000000002</v>
      </c>
      <c r="E146" s="8"/>
      <c r="F146" s="8"/>
      <c r="G146" s="8"/>
      <c r="H146" s="8"/>
    </row>
    <row r="147" spans="1:8">
      <c r="A147" s="8" t="s">
        <v>243</v>
      </c>
      <c r="B147" s="8">
        <v>2.090538</v>
      </c>
      <c r="C147" s="8">
        <v>3.6963210000000002</v>
      </c>
      <c r="D147" s="8">
        <v>0.57199999999999995</v>
      </c>
      <c r="E147" s="8"/>
      <c r="F147" s="8"/>
      <c r="G147" s="8"/>
      <c r="H147" s="8"/>
    </row>
    <row r="148" spans="1:8">
      <c r="A148" s="8" t="s">
        <v>244</v>
      </c>
      <c r="B148" s="8"/>
      <c r="C148" s="8"/>
      <c r="D148" s="8"/>
      <c r="E148" s="8"/>
      <c r="F148" s="8">
        <v>-3.7490000000000001E-4</v>
      </c>
      <c r="G148" s="8">
        <v>4.3552E-3</v>
      </c>
      <c r="H148" s="8">
        <v>0.93100000000000005</v>
      </c>
    </row>
    <row r="149" spans="1:8">
      <c r="A149" s="8" t="s">
        <v>46</v>
      </c>
      <c r="B149" s="8">
        <v>42.212699999999998</v>
      </c>
      <c r="C149" s="8">
        <v>51.633690000000001</v>
      </c>
      <c r="D149" s="8">
        <v>0.41399999999999998</v>
      </c>
      <c r="E149" s="8" t="s">
        <v>46</v>
      </c>
      <c r="F149" s="8">
        <v>9.1424129999999995</v>
      </c>
      <c r="G149" s="8">
        <v>3.3490160000000002</v>
      </c>
      <c r="H149" s="8">
        <v>6.0000000000000001E-3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950E-45E6-471C-9779-4820B9030B8E}">
  <dimension ref="A1:S67"/>
  <sheetViews>
    <sheetView topLeftCell="H1" workbookViewId="0">
      <selection activeCell="I10" sqref="I10"/>
    </sheetView>
  </sheetViews>
  <sheetFormatPr baseColWidth="10" defaultColWidth="12.88671875" defaultRowHeight="12"/>
  <cols>
    <col min="1" max="1" width="10.44140625" style="2" customWidth="1"/>
    <col min="2" max="2" width="8.44140625" style="2" customWidth="1"/>
    <col min="3" max="3" width="8.33203125" style="2" customWidth="1"/>
    <col min="4" max="4" width="6.44140625" style="2" customWidth="1"/>
    <col min="5" max="5" width="11.109375" style="2" customWidth="1"/>
    <col min="6" max="6" width="10.109375" style="2" customWidth="1"/>
    <col min="7" max="7" width="9.44140625" style="2" customWidth="1"/>
    <col min="8" max="8" width="6.21875" style="2" customWidth="1"/>
    <col min="9" max="16384" width="12.88671875" style="2"/>
  </cols>
  <sheetData>
    <row r="1" spans="1:19">
      <c r="A1" s="5"/>
      <c r="B1" s="11" t="s">
        <v>88</v>
      </c>
      <c r="C1" s="11"/>
      <c r="D1" s="11"/>
      <c r="E1" s="11"/>
      <c r="F1" s="11" t="s">
        <v>89</v>
      </c>
      <c r="G1" s="11"/>
      <c r="H1" s="11"/>
      <c r="K1" s="13" t="s">
        <v>94</v>
      </c>
      <c r="L1" s="13"/>
      <c r="M1" s="13"/>
      <c r="N1" s="13"/>
      <c r="P1" s="13" t="s">
        <v>44</v>
      </c>
      <c r="Q1" s="13"/>
      <c r="R1" s="13"/>
      <c r="S1" s="13"/>
    </row>
    <row r="2" spans="1:19">
      <c r="A2" s="1"/>
      <c r="B2" s="6" t="s">
        <v>87</v>
      </c>
      <c r="C2" s="6" t="s">
        <v>42</v>
      </c>
      <c r="D2" s="6" t="s">
        <v>2</v>
      </c>
      <c r="E2" s="6"/>
      <c r="F2" s="6" t="s">
        <v>87</v>
      </c>
      <c r="G2" s="6" t="s">
        <v>42</v>
      </c>
      <c r="H2" s="6" t="s">
        <v>2</v>
      </c>
      <c r="I2" s="3"/>
      <c r="K2" s="2" t="s">
        <v>90</v>
      </c>
      <c r="L2" s="2" t="s">
        <v>91</v>
      </c>
      <c r="M2" s="2" t="s">
        <v>92</v>
      </c>
      <c r="N2" s="2" t="s">
        <v>93</v>
      </c>
      <c r="P2" s="2" t="s">
        <v>90</v>
      </c>
      <c r="Q2" s="2" t="s">
        <v>91</v>
      </c>
      <c r="R2" s="2" t="s">
        <v>92</v>
      </c>
      <c r="S2" s="2" t="s">
        <v>93</v>
      </c>
    </row>
    <row r="3" spans="1:19">
      <c r="A3" s="5" t="s">
        <v>43</v>
      </c>
      <c r="B3" s="5">
        <v>0.74039529999999998</v>
      </c>
      <c r="C3" s="5">
        <v>0.58626920000000005</v>
      </c>
      <c r="D3" s="5">
        <v>0.20699999999999999</v>
      </c>
      <c r="E3" s="5" t="s">
        <v>43</v>
      </c>
      <c r="F3" s="5">
        <v>0.75263159999999996</v>
      </c>
      <c r="G3" s="5">
        <v>0.58853880000000003</v>
      </c>
      <c r="H3" s="5">
        <v>0.20100000000000001</v>
      </c>
      <c r="I3" s="4"/>
      <c r="K3" s="2">
        <v>11.28</v>
      </c>
      <c r="L3" s="2">
        <v>2.37</v>
      </c>
      <c r="M3" s="2">
        <v>1</v>
      </c>
      <c r="N3" s="2">
        <f>(K3+(L3*M3))</f>
        <v>13.649999999999999</v>
      </c>
      <c r="P3" s="2">
        <v>13.77</v>
      </c>
      <c r="Q3" s="2">
        <v>2.21</v>
      </c>
      <c r="R3" s="2">
        <v>1</v>
      </c>
      <c r="S3" s="2">
        <f>(P3+(Q3*R3))</f>
        <v>15.98</v>
      </c>
    </row>
    <row r="4" spans="1:19">
      <c r="A4" s="5" t="s">
        <v>47</v>
      </c>
      <c r="B4" s="5">
        <v>-0.74039529999999998</v>
      </c>
      <c r="C4" s="5">
        <v>16.114280000000001</v>
      </c>
      <c r="D4" s="5">
        <v>0.96299999999999997</v>
      </c>
      <c r="E4" s="5" t="s">
        <v>47</v>
      </c>
      <c r="F4" s="5">
        <v>-0.75263159999999996</v>
      </c>
      <c r="G4" s="5">
        <v>16.129940000000001</v>
      </c>
      <c r="H4" s="5">
        <v>0.96299999999999997</v>
      </c>
      <c r="I4" s="4"/>
      <c r="K4" s="2">
        <v>11.28</v>
      </c>
      <c r="L4" s="2">
        <v>2.37</v>
      </c>
      <c r="M4" s="2">
        <v>2</v>
      </c>
      <c r="N4" s="2">
        <f t="shared" ref="N4:N22" si="0">(K4+(L4*M4))</f>
        <v>16.02</v>
      </c>
      <c r="P4" s="2">
        <v>13.77</v>
      </c>
      <c r="Q4" s="2">
        <v>2.21</v>
      </c>
      <c r="R4" s="2">
        <v>2</v>
      </c>
      <c r="S4" s="2">
        <f t="shared" ref="S4:S22" si="1">(P4+(Q4*R4))</f>
        <v>18.189999999999998</v>
      </c>
    </row>
    <row r="5" spans="1:19">
      <c r="A5" s="5" t="s">
        <v>48</v>
      </c>
      <c r="B5" s="5">
        <v>-18.119260000000001</v>
      </c>
      <c r="C5" s="5">
        <v>13.373200000000001</v>
      </c>
      <c r="D5" s="5">
        <v>0.17599999999999999</v>
      </c>
      <c r="E5" s="5" t="s">
        <v>48</v>
      </c>
      <c r="F5" s="5">
        <v>-18.50526</v>
      </c>
      <c r="G5" s="5">
        <v>15.733370000000001</v>
      </c>
      <c r="H5" s="5">
        <v>0.24</v>
      </c>
      <c r="I5" s="4"/>
      <c r="K5" s="2">
        <v>11.28</v>
      </c>
      <c r="L5" s="2">
        <v>2.37</v>
      </c>
      <c r="M5" s="2">
        <v>3</v>
      </c>
      <c r="N5" s="2">
        <f t="shared" si="0"/>
        <v>18.39</v>
      </c>
      <c r="P5" s="2">
        <v>13.77</v>
      </c>
      <c r="Q5" s="2">
        <v>2.21</v>
      </c>
      <c r="R5" s="2">
        <v>3</v>
      </c>
      <c r="S5" s="2">
        <f t="shared" si="1"/>
        <v>20.399999999999999</v>
      </c>
    </row>
    <row r="6" spans="1:19">
      <c r="A6" s="5" t="s">
        <v>49</v>
      </c>
      <c r="B6" s="5">
        <v>-19.644269999999999</v>
      </c>
      <c r="C6" s="5">
        <v>10.75854</v>
      </c>
      <c r="D6" s="5">
        <v>6.8000000000000005E-2</v>
      </c>
      <c r="E6" s="5" t="s">
        <v>49</v>
      </c>
      <c r="F6" s="5">
        <v>-18.25789</v>
      </c>
      <c r="G6" s="5">
        <v>12.017799999999999</v>
      </c>
      <c r="H6" s="5">
        <v>0.129</v>
      </c>
      <c r="I6" s="4"/>
      <c r="K6" s="2">
        <v>11.28</v>
      </c>
      <c r="L6" s="2">
        <v>2.37</v>
      </c>
      <c r="M6" s="2">
        <v>4</v>
      </c>
      <c r="N6" s="2">
        <f t="shared" si="0"/>
        <v>20.759999999999998</v>
      </c>
      <c r="P6" s="2">
        <v>13.77</v>
      </c>
      <c r="Q6" s="2">
        <v>2.21</v>
      </c>
      <c r="R6" s="2">
        <v>4</v>
      </c>
      <c r="S6" s="2">
        <f t="shared" si="1"/>
        <v>22.61</v>
      </c>
    </row>
    <row r="7" spans="1:19">
      <c r="A7" s="5" t="s">
        <v>50</v>
      </c>
      <c r="B7" s="5">
        <v>-6.4795340000000001</v>
      </c>
      <c r="C7" s="5">
        <v>10.49729</v>
      </c>
      <c r="D7" s="5">
        <v>0.53700000000000003</v>
      </c>
      <c r="E7" s="5" t="s">
        <v>50</v>
      </c>
      <c r="F7" s="5">
        <v>-10.010529999999999</v>
      </c>
      <c r="G7" s="5">
        <v>12.488759999999999</v>
      </c>
      <c r="H7" s="5">
        <v>0.42299999999999999</v>
      </c>
      <c r="I7" s="4"/>
      <c r="K7" s="2">
        <v>11.28</v>
      </c>
      <c r="L7" s="2">
        <v>2.37</v>
      </c>
      <c r="M7" s="2">
        <v>5</v>
      </c>
      <c r="N7" s="2">
        <f t="shared" si="0"/>
        <v>23.130000000000003</v>
      </c>
      <c r="P7" s="2">
        <v>13.77</v>
      </c>
      <c r="Q7" s="2">
        <v>2.21</v>
      </c>
      <c r="R7" s="2">
        <v>5</v>
      </c>
      <c r="S7" s="2">
        <f t="shared" si="1"/>
        <v>24.82</v>
      </c>
    </row>
    <row r="8" spans="1:19">
      <c r="A8" s="5" t="s">
        <v>51</v>
      </c>
      <c r="B8" s="5">
        <v>-7.157362</v>
      </c>
      <c r="C8" s="5">
        <v>10.204549999999999</v>
      </c>
      <c r="D8" s="5">
        <v>0.48299999999999998</v>
      </c>
      <c r="E8" s="5" t="s">
        <v>51</v>
      </c>
      <c r="F8" s="5">
        <v>-3.0131579999999998</v>
      </c>
      <c r="G8" s="5">
        <v>10.546250000000001</v>
      </c>
      <c r="H8" s="5">
        <v>0.77500000000000002</v>
      </c>
      <c r="I8" s="4"/>
      <c r="K8" s="2">
        <v>11.28</v>
      </c>
      <c r="L8" s="2">
        <v>2.37</v>
      </c>
      <c r="M8" s="2">
        <v>6</v>
      </c>
      <c r="N8" s="2">
        <f t="shared" si="0"/>
        <v>25.5</v>
      </c>
      <c r="P8" s="2">
        <v>13.77</v>
      </c>
      <c r="Q8" s="2">
        <v>2.21</v>
      </c>
      <c r="R8" s="2">
        <v>6</v>
      </c>
      <c r="S8" s="2">
        <f t="shared" si="1"/>
        <v>27.03</v>
      </c>
    </row>
    <row r="9" spans="1:19">
      <c r="A9" s="5" t="s">
        <v>52</v>
      </c>
      <c r="B9" s="5">
        <v>-11.644679999999999</v>
      </c>
      <c r="C9" s="5">
        <v>8.5917300000000001</v>
      </c>
      <c r="D9" s="5">
        <v>0.17499999999999999</v>
      </c>
      <c r="E9" s="5" t="s">
        <v>52</v>
      </c>
      <c r="F9" s="5">
        <v>-9.6269010000000002</v>
      </c>
      <c r="G9" s="5">
        <v>9.0755149999999993</v>
      </c>
      <c r="H9" s="5">
        <v>0.28899999999999998</v>
      </c>
      <c r="I9" s="4"/>
      <c r="K9" s="2">
        <v>11.28</v>
      </c>
      <c r="L9" s="2">
        <v>2.37</v>
      </c>
      <c r="M9" s="2">
        <v>7</v>
      </c>
      <c r="N9" s="2">
        <f t="shared" si="0"/>
        <v>27.869999999999997</v>
      </c>
      <c r="P9" s="2">
        <v>13.77</v>
      </c>
      <c r="Q9" s="2">
        <v>2.21</v>
      </c>
      <c r="R9" s="2">
        <v>7</v>
      </c>
      <c r="S9" s="2">
        <f t="shared" si="1"/>
        <v>29.24</v>
      </c>
    </row>
    <row r="10" spans="1:19">
      <c r="A10" s="5" t="s">
        <v>53</v>
      </c>
      <c r="B10" s="5">
        <v>-19.021229999999999</v>
      </c>
      <c r="C10" s="5">
        <v>8.4528929999999995</v>
      </c>
      <c r="D10" s="5">
        <v>2.4E-2</v>
      </c>
      <c r="E10" s="5" t="s">
        <v>53</v>
      </c>
      <c r="F10" s="5">
        <v>-22.668420000000001</v>
      </c>
      <c r="G10" s="5">
        <v>9.2384210000000007</v>
      </c>
      <c r="H10" s="5">
        <v>1.4E-2</v>
      </c>
      <c r="I10" s="4"/>
      <c r="K10" s="2">
        <v>11.28</v>
      </c>
      <c r="L10" s="2">
        <v>2.37</v>
      </c>
      <c r="M10" s="2">
        <v>8</v>
      </c>
      <c r="N10" s="2">
        <f t="shared" si="0"/>
        <v>30.240000000000002</v>
      </c>
      <c r="P10" s="2">
        <v>13.77</v>
      </c>
      <c r="Q10" s="2">
        <v>2.21</v>
      </c>
      <c r="R10" s="2">
        <v>8</v>
      </c>
      <c r="S10" s="2">
        <f t="shared" si="1"/>
        <v>31.45</v>
      </c>
    </row>
    <row r="11" spans="1:19">
      <c r="A11" s="5" t="s">
        <v>54</v>
      </c>
      <c r="B11" s="5">
        <v>-11.964040000000001</v>
      </c>
      <c r="C11" s="5">
        <v>7.2939129999999999</v>
      </c>
      <c r="D11" s="5">
        <v>0.10100000000000001</v>
      </c>
      <c r="E11" s="5" t="s">
        <v>54</v>
      </c>
      <c r="F11" s="5">
        <v>-12.28421</v>
      </c>
      <c r="G11" s="5">
        <v>7.5310040000000003</v>
      </c>
      <c r="H11" s="5">
        <v>0.10299999999999999</v>
      </c>
      <c r="I11" s="4"/>
      <c r="K11" s="2">
        <v>11.28</v>
      </c>
      <c r="L11" s="2">
        <v>2.37</v>
      </c>
      <c r="M11" s="2">
        <v>9</v>
      </c>
      <c r="N11" s="2">
        <f t="shared" si="0"/>
        <v>32.61</v>
      </c>
      <c r="P11" s="2">
        <v>13.77</v>
      </c>
      <c r="Q11" s="2">
        <v>2.21</v>
      </c>
      <c r="R11" s="2">
        <v>9</v>
      </c>
      <c r="S11" s="2">
        <f t="shared" si="1"/>
        <v>33.659999999999997</v>
      </c>
    </row>
    <row r="12" spans="1:19">
      <c r="A12" s="5" t="s">
        <v>55</v>
      </c>
      <c r="B12" s="5">
        <v>-13.78119</v>
      </c>
      <c r="C12" s="5">
        <v>6.6588050000000001</v>
      </c>
      <c r="D12" s="5">
        <v>3.9E-2</v>
      </c>
      <c r="E12" s="5" t="s">
        <v>55</v>
      </c>
      <c r="F12" s="5">
        <v>-14.69035</v>
      </c>
      <c r="G12" s="5">
        <v>6.8869290000000003</v>
      </c>
      <c r="H12" s="5">
        <v>3.3000000000000002E-2</v>
      </c>
      <c r="I12" s="4"/>
      <c r="K12" s="2">
        <v>11.28</v>
      </c>
      <c r="L12" s="2">
        <v>2.37</v>
      </c>
      <c r="M12" s="2">
        <v>10</v>
      </c>
      <c r="N12" s="2">
        <f t="shared" si="0"/>
        <v>34.980000000000004</v>
      </c>
      <c r="P12" s="2">
        <v>13.77</v>
      </c>
      <c r="Q12" s="2">
        <v>2.21</v>
      </c>
      <c r="R12" s="2">
        <v>10</v>
      </c>
      <c r="S12" s="2">
        <f t="shared" si="1"/>
        <v>35.870000000000005</v>
      </c>
    </row>
    <row r="13" spans="1:19">
      <c r="A13" s="5" t="s">
        <v>56</v>
      </c>
      <c r="B13" s="5">
        <v>-17.059699999999999</v>
      </c>
      <c r="C13" s="5">
        <v>6.0295620000000003</v>
      </c>
      <c r="D13" s="5">
        <v>5.0000000000000001E-3</v>
      </c>
      <c r="E13" s="5" t="s">
        <v>56</v>
      </c>
      <c r="F13" s="5">
        <v>-17.870069999999998</v>
      </c>
      <c r="G13" s="5">
        <v>6.2378910000000003</v>
      </c>
      <c r="H13" s="5">
        <v>4.0000000000000001E-3</v>
      </c>
      <c r="I13" s="4"/>
      <c r="K13" s="2">
        <v>11.28</v>
      </c>
      <c r="L13" s="2">
        <v>2.37</v>
      </c>
      <c r="M13" s="2">
        <v>11</v>
      </c>
      <c r="N13" s="2">
        <f t="shared" si="0"/>
        <v>37.35</v>
      </c>
      <c r="P13" s="2">
        <v>13.77</v>
      </c>
      <c r="Q13" s="2">
        <v>2.21</v>
      </c>
      <c r="R13" s="2">
        <v>11</v>
      </c>
      <c r="S13" s="2">
        <f t="shared" si="1"/>
        <v>38.08</v>
      </c>
    </row>
    <row r="14" spans="1:19">
      <c r="A14" s="5" t="s">
        <v>57</v>
      </c>
      <c r="B14" s="5">
        <v>-16.311170000000001</v>
      </c>
      <c r="C14" s="5">
        <v>5.4105999999999996</v>
      </c>
      <c r="D14" s="5">
        <v>3.0000000000000001E-3</v>
      </c>
      <c r="E14" s="5" t="s">
        <v>57</v>
      </c>
      <c r="F14" s="5">
        <v>-17.188040000000001</v>
      </c>
      <c r="G14" s="5">
        <v>5.5428290000000002</v>
      </c>
      <c r="H14" s="5">
        <v>2E-3</v>
      </c>
      <c r="I14" s="4"/>
      <c r="K14" s="2">
        <v>11.28</v>
      </c>
      <c r="L14" s="2">
        <v>2.37</v>
      </c>
      <c r="M14" s="2">
        <v>12</v>
      </c>
      <c r="N14" s="2">
        <f t="shared" si="0"/>
        <v>39.72</v>
      </c>
      <c r="P14" s="2">
        <v>13.77</v>
      </c>
      <c r="Q14" s="2">
        <v>2.21</v>
      </c>
      <c r="R14" s="2">
        <v>12</v>
      </c>
      <c r="S14" s="2">
        <f t="shared" si="1"/>
        <v>40.29</v>
      </c>
    </row>
    <row r="15" spans="1:19">
      <c r="A15" s="5" t="s">
        <v>58</v>
      </c>
      <c r="B15" s="5">
        <v>-14.32734</v>
      </c>
      <c r="C15" s="5">
        <v>4.7277579999999997</v>
      </c>
      <c r="D15" s="5">
        <v>2E-3</v>
      </c>
      <c r="E15" s="5" t="s">
        <v>58</v>
      </c>
      <c r="F15" s="5">
        <v>-14.812620000000001</v>
      </c>
      <c r="G15" s="5">
        <v>4.7787819999999996</v>
      </c>
      <c r="H15" s="5">
        <v>2E-3</v>
      </c>
      <c r="I15" s="4"/>
      <c r="K15" s="2">
        <v>11.28</v>
      </c>
      <c r="L15" s="2">
        <v>2.37</v>
      </c>
      <c r="M15" s="2">
        <v>13</v>
      </c>
      <c r="N15" s="2">
        <f t="shared" si="0"/>
        <v>42.09</v>
      </c>
      <c r="P15" s="2">
        <v>13.77</v>
      </c>
      <c r="Q15" s="2">
        <v>2.21</v>
      </c>
      <c r="R15" s="2">
        <v>13</v>
      </c>
      <c r="S15" s="2">
        <f t="shared" si="1"/>
        <v>42.5</v>
      </c>
    </row>
    <row r="16" spans="1:19">
      <c r="A16" s="5" t="s">
        <v>59</v>
      </c>
      <c r="B16" s="5">
        <v>-12.96823</v>
      </c>
      <c r="C16" s="5">
        <v>4.2054320000000001</v>
      </c>
      <c r="D16" s="5">
        <v>2E-3</v>
      </c>
      <c r="E16" s="5" t="s">
        <v>59</v>
      </c>
      <c r="F16" s="5">
        <v>-13.3346</v>
      </c>
      <c r="G16" s="5">
        <v>4.3095730000000003</v>
      </c>
      <c r="H16" s="5">
        <v>2E-3</v>
      </c>
      <c r="I16" s="4"/>
      <c r="K16" s="2">
        <v>11.28</v>
      </c>
      <c r="L16" s="2">
        <v>2.37</v>
      </c>
      <c r="M16" s="2">
        <v>14</v>
      </c>
      <c r="N16" s="2">
        <f t="shared" si="0"/>
        <v>44.46</v>
      </c>
      <c r="P16" s="2">
        <v>13.77</v>
      </c>
      <c r="Q16" s="2">
        <v>2.21</v>
      </c>
      <c r="R16" s="2">
        <v>14</v>
      </c>
      <c r="S16" s="2">
        <f t="shared" si="1"/>
        <v>44.709999999999994</v>
      </c>
    </row>
    <row r="17" spans="1:19">
      <c r="A17" s="5" t="s">
        <v>60</v>
      </c>
      <c r="B17" s="5">
        <v>-11.200900000000001</v>
      </c>
      <c r="C17" s="5">
        <v>3.6115889999999999</v>
      </c>
      <c r="D17" s="5">
        <v>2E-3</v>
      </c>
      <c r="E17" s="5" t="s">
        <v>60</v>
      </c>
      <c r="F17" s="5">
        <v>-11.60059</v>
      </c>
      <c r="G17" s="5">
        <v>3.7059660000000001</v>
      </c>
      <c r="H17" s="5">
        <v>2E-3</v>
      </c>
      <c r="I17" s="4"/>
      <c r="K17" s="2">
        <v>11.28</v>
      </c>
      <c r="L17" s="2">
        <v>2.37</v>
      </c>
      <c r="M17" s="2">
        <v>15</v>
      </c>
      <c r="N17" s="2">
        <f t="shared" si="0"/>
        <v>46.830000000000005</v>
      </c>
      <c r="P17" s="2">
        <v>13.77</v>
      </c>
      <c r="Q17" s="2">
        <v>2.21</v>
      </c>
      <c r="R17" s="2">
        <v>15</v>
      </c>
      <c r="S17" s="2">
        <f t="shared" si="1"/>
        <v>46.92</v>
      </c>
    </row>
    <row r="18" spans="1:19">
      <c r="A18" s="5" t="s">
        <v>61</v>
      </c>
      <c r="B18" s="5">
        <v>-11.40264</v>
      </c>
      <c r="C18" s="5">
        <v>3.1393680000000002</v>
      </c>
      <c r="D18" s="5">
        <v>0</v>
      </c>
      <c r="E18" s="5" t="s">
        <v>61</v>
      </c>
      <c r="F18" s="5">
        <v>-10.265940000000001</v>
      </c>
      <c r="G18" s="5">
        <v>3.3418519999999998</v>
      </c>
      <c r="H18" s="5">
        <v>2E-3</v>
      </c>
      <c r="I18" s="4"/>
      <c r="K18" s="2">
        <v>11.28</v>
      </c>
      <c r="L18" s="2">
        <v>2.37</v>
      </c>
      <c r="M18" s="2">
        <v>16</v>
      </c>
      <c r="N18" s="2">
        <f t="shared" si="0"/>
        <v>49.2</v>
      </c>
      <c r="P18" s="2">
        <v>13.77</v>
      </c>
      <c r="Q18" s="2">
        <v>2.21</v>
      </c>
      <c r="R18" s="2">
        <v>16</v>
      </c>
      <c r="S18" s="2">
        <f t="shared" si="1"/>
        <v>49.129999999999995</v>
      </c>
    </row>
    <row r="19" spans="1:19">
      <c r="A19" s="5" t="s">
        <v>62</v>
      </c>
      <c r="B19" s="5">
        <v>-5.385548</v>
      </c>
      <c r="C19" s="5">
        <v>2.5059710000000002</v>
      </c>
      <c r="D19" s="5">
        <v>3.2000000000000001E-2</v>
      </c>
      <c r="E19" s="5" t="s">
        <v>62</v>
      </c>
      <c r="F19" s="5">
        <v>-5.0173120000000004</v>
      </c>
      <c r="G19" s="5">
        <v>2.645448</v>
      </c>
      <c r="H19" s="5">
        <v>5.8000000000000003E-2</v>
      </c>
      <c r="I19" s="4"/>
      <c r="K19" s="2">
        <v>11.28</v>
      </c>
      <c r="L19" s="2">
        <v>2.37</v>
      </c>
      <c r="M19" s="2">
        <v>17</v>
      </c>
      <c r="N19" s="2">
        <f t="shared" si="0"/>
        <v>51.57</v>
      </c>
      <c r="P19" s="2">
        <v>13.77</v>
      </c>
      <c r="Q19" s="2">
        <v>2.21</v>
      </c>
      <c r="R19" s="2">
        <v>17</v>
      </c>
      <c r="S19" s="2">
        <f t="shared" si="1"/>
        <v>51.34</v>
      </c>
    </row>
    <row r="20" spans="1:19">
      <c r="A20" s="5" t="s">
        <v>63</v>
      </c>
      <c r="B20" s="5">
        <v>-3.1872129999999999</v>
      </c>
      <c r="C20" s="5">
        <v>2.152876</v>
      </c>
      <c r="D20" s="5">
        <v>0.13900000000000001</v>
      </c>
      <c r="E20" s="5" t="s">
        <v>63</v>
      </c>
      <c r="F20" s="5">
        <v>-4.0584730000000002</v>
      </c>
      <c r="G20" s="5">
        <v>2.424814</v>
      </c>
      <c r="H20" s="5">
        <v>9.4E-2</v>
      </c>
      <c r="I20" s="4"/>
      <c r="K20" s="2">
        <v>11.28</v>
      </c>
      <c r="L20" s="2">
        <v>2.37</v>
      </c>
      <c r="M20" s="2">
        <v>18</v>
      </c>
      <c r="N20" s="2">
        <f t="shared" si="0"/>
        <v>53.940000000000005</v>
      </c>
      <c r="P20" s="2">
        <v>13.77</v>
      </c>
      <c r="Q20" s="2">
        <v>2.21</v>
      </c>
      <c r="R20" s="2">
        <v>18</v>
      </c>
      <c r="S20" s="2">
        <f t="shared" si="1"/>
        <v>53.55</v>
      </c>
    </row>
    <row r="21" spans="1:19">
      <c r="A21" s="5" t="s">
        <v>64</v>
      </c>
      <c r="B21" s="5">
        <v>-1.3248329999999999</v>
      </c>
      <c r="C21" s="5">
        <v>1.6790210000000001</v>
      </c>
      <c r="D21" s="5">
        <v>0.43</v>
      </c>
      <c r="E21" s="5" t="s">
        <v>64</v>
      </c>
      <c r="F21" s="5">
        <v>-1.102924</v>
      </c>
      <c r="G21" s="5">
        <v>1.9984550000000001</v>
      </c>
      <c r="H21" s="5">
        <v>0.58099999999999996</v>
      </c>
      <c r="I21" s="4"/>
      <c r="K21" s="2">
        <v>11.28</v>
      </c>
      <c r="L21" s="2">
        <v>2.37</v>
      </c>
      <c r="M21" s="2">
        <v>19</v>
      </c>
      <c r="N21" s="2">
        <f t="shared" si="0"/>
        <v>56.31</v>
      </c>
      <c r="P21" s="2">
        <v>13.77</v>
      </c>
      <c r="Q21" s="2">
        <v>2.21</v>
      </c>
      <c r="R21" s="2">
        <v>19</v>
      </c>
      <c r="S21" s="2">
        <f t="shared" si="1"/>
        <v>55.760000000000005</v>
      </c>
    </row>
    <row r="22" spans="1:19">
      <c r="A22" s="5" t="s">
        <v>65</v>
      </c>
      <c r="B22" s="5">
        <v>-2.7466059999999999</v>
      </c>
      <c r="C22" s="5">
        <v>1.7200549999999999</v>
      </c>
      <c r="D22" s="5">
        <v>0.11</v>
      </c>
      <c r="E22" s="5" t="s">
        <v>65</v>
      </c>
      <c r="F22" s="5">
        <v>-3.4904760000000001</v>
      </c>
      <c r="G22" s="5">
        <v>2.285126</v>
      </c>
      <c r="H22" s="5">
        <v>0.127</v>
      </c>
      <c r="I22" s="4"/>
      <c r="K22" s="2">
        <v>11.28</v>
      </c>
      <c r="L22" s="2">
        <v>2.37</v>
      </c>
      <c r="M22" s="2">
        <v>20</v>
      </c>
      <c r="N22" s="2">
        <f t="shared" si="0"/>
        <v>58.680000000000007</v>
      </c>
      <c r="P22" s="2">
        <v>13.77</v>
      </c>
      <c r="Q22" s="2">
        <v>2.21</v>
      </c>
      <c r="R22" s="2">
        <v>20</v>
      </c>
      <c r="S22" s="2">
        <f t="shared" si="1"/>
        <v>57.97</v>
      </c>
    </row>
    <row r="23" spans="1:19">
      <c r="A23" s="5" t="s">
        <v>66</v>
      </c>
      <c r="B23" s="5"/>
      <c r="C23" s="5"/>
      <c r="D23" s="5"/>
      <c r="E23" s="5" t="s">
        <v>66</v>
      </c>
      <c r="F23" s="5"/>
      <c r="G23" s="5"/>
      <c r="H23" s="5"/>
      <c r="I23" s="4"/>
    </row>
    <row r="24" spans="1:19">
      <c r="A24" s="5" t="s">
        <v>44</v>
      </c>
      <c r="B24" s="5">
        <v>0.27692919999999999</v>
      </c>
      <c r="C24" s="5">
        <v>0.40817439999999999</v>
      </c>
      <c r="D24" s="5">
        <v>0.498</v>
      </c>
      <c r="E24" s="5" t="s">
        <v>44</v>
      </c>
      <c r="F24" s="5">
        <v>1</v>
      </c>
      <c r="G24" s="5">
        <v>16.537949999999999</v>
      </c>
      <c r="H24" s="5">
        <v>0.95199999999999996</v>
      </c>
      <c r="I24" s="4"/>
    </row>
    <row r="25" spans="1:19">
      <c r="A25" s="5" t="s">
        <v>45</v>
      </c>
      <c r="B25" s="5"/>
      <c r="C25" s="5"/>
      <c r="D25" s="5"/>
      <c r="E25" s="5" t="s">
        <v>67</v>
      </c>
      <c r="F25" s="5"/>
      <c r="G25" s="5"/>
      <c r="H25" s="5"/>
      <c r="I25" s="4"/>
    </row>
    <row r="26" spans="1:19">
      <c r="A26" s="5" t="s">
        <v>46</v>
      </c>
      <c r="B26" s="5">
        <v>44</v>
      </c>
      <c r="C26" s="5">
        <v>11.682779999999999</v>
      </c>
      <c r="D26" s="5">
        <v>0</v>
      </c>
      <c r="E26" s="5" t="s">
        <v>68</v>
      </c>
      <c r="F26" s="5"/>
      <c r="G26" s="5"/>
      <c r="H26" s="5"/>
      <c r="I26" s="4"/>
    </row>
    <row r="27" spans="1:19">
      <c r="A27" s="5"/>
      <c r="B27" s="5"/>
      <c r="C27" s="5"/>
      <c r="D27" s="5"/>
      <c r="E27" s="5" t="s">
        <v>69</v>
      </c>
      <c r="F27" s="5">
        <v>-3</v>
      </c>
      <c r="G27" s="5">
        <v>18.612839999999998</v>
      </c>
      <c r="H27" s="5">
        <v>0.872</v>
      </c>
      <c r="I27" s="4"/>
    </row>
    <row r="28" spans="1:19">
      <c r="A28" s="5"/>
      <c r="B28" s="5"/>
      <c r="C28" s="5"/>
      <c r="D28" s="5"/>
      <c r="E28" s="5" t="s">
        <v>70</v>
      </c>
      <c r="F28" s="5">
        <v>4.5</v>
      </c>
      <c r="G28" s="5">
        <v>19.39246</v>
      </c>
      <c r="H28" s="5">
        <v>0.81699999999999995</v>
      </c>
      <c r="I28" s="4"/>
    </row>
    <row r="29" spans="1:19">
      <c r="A29" s="5"/>
      <c r="B29" s="5"/>
      <c r="C29" s="5"/>
      <c r="D29" s="5"/>
      <c r="E29" s="5" t="s">
        <v>71</v>
      </c>
      <c r="F29" s="5">
        <v>-21.75</v>
      </c>
      <c r="G29" s="5">
        <v>21.08183</v>
      </c>
      <c r="H29" s="5">
        <v>0.30199999999999999</v>
      </c>
      <c r="I29" s="4"/>
    </row>
    <row r="30" spans="1:19">
      <c r="A30" s="5"/>
      <c r="B30" s="5"/>
      <c r="C30" s="5"/>
      <c r="D30" s="5"/>
      <c r="E30" s="5" t="s">
        <v>72</v>
      </c>
      <c r="F30" s="5">
        <v>-4.5252530000000002</v>
      </c>
      <c r="G30" s="5">
        <v>17.353110000000001</v>
      </c>
      <c r="H30" s="5">
        <v>0.79400000000000004</v>
      </c>
      <c r="I30" s="4"/>
    </row>
    <row r="31" spans="1:19">
      <c r="A31" s="5"/>
      <c r="B31" s="5"/>
      <c r="C31" s="5"/>
      <c r="D31" s="5"/>
      <c r="E31" s="5" t="s">
        <v>73</v>
      </c>
      <c r="F31" s="5">
        <v>6.4</v>
      </c>
      <c r="G31" s="5">
        <v>18.116409999999998</v>
      </c>
      <c r="H31" s="5">
        <v>0.72399999999999998</v>
      </c>
      <c r="I31" s="4"/>
    </row>
    <row r="32" spans="1:19">
      <c r="A32" s="5"/>
      <c r="B32" s="5"/>
      <c r="C32" s="5"/>
      <c r="D32" s="5"/>
      <c r="E32" s="5" t="s">
        <v>74</v>
      </c>
      <c r="F32" s="5">
        <v>-0.2368421</v>
      </c>
      <c r="G32" s="5">
        <v>17.007300000000001</v>
      </c>
      <c r="H32" s="5">
        <v>0.98899999999999999</v>
      </c>
      <c r="I32" s="4"/>
    </row>
    <row r="33" spans="1:9">
      <c r="A33" s="5"/>
      <c r="B33" s="5"/>
      <c r="C33" s="5"/>
      <c r="D33" s="5"/>
      <c r="E33" s="5" t="s">
        <v>75</v>
      </c>
      <c r="F33" s="5">
        <v>0.875</v>
      </c>
      <c r="G33" s="5">
        <v>16.878969999999999</v>
      </c>
      <c r="H33" s="5">
        <v>0.95899999999999996</v>
      </c>
      <c r="I33" s="4"/>
    </row>
    <row r="34" spans="1:9">
      <c r="A34" s="5"/>
      <c r="B34" s="5"/>
      <c r="C34" s="5"/>
      <c r="D34" s="5"/>
      <c r="E34" s="5" t="s">
        <v>76</v>
      </c>
      <c r="F34" s="5">
        <v>0.55996619999999997</v>
      </c>
      <c r="G34" s="5">
        <v>16.777159999999999</v>
      </c>
      <c r="H34" s="5">
        <v>0.97299999999999998</v>
      </c>
      <c r="I34" s="4"/>
    </row>
    <row r="35" spans="1:9">
      <c r="A35" s="5"/>
      <c r="B35" s="5"/>
      <c r="C35" s="5"/>
      <c r="D35" s="5"/>
      <c r="E35" s="5" t="s">
        <v>77</v>
      </c>
      <c r="F35" s="5">
        <v>0.88781429999999995</v>
      </c>
      <c r="G35" s="5">
        <v>16.700289999999999</v>
      </c>
      <c r="H35" s="5">
        <v>0.95799999999999996</v>
      </c>
      <c r="I35" s="4"/>
    </row>
    <row r="36" spans="1:9">
      <c r="A36" s="5"/>
      <c r="B36" s="5"/>
      <c r="C36" s="5"/>
      <c r="D36" s="5"/>
      <c r="E36" s="5" t="s">
        <v>78</v>
      </c>
      <c r="F36" s="5">
        <v>-1.35161E-2</v>
      </c>
      <c r="G36" s="5">
        <v>16.557500000000001</v>
      </c>
      <c r="H36" s="5">
        <v>0.999</v>
      </c>
      <c r="I36" s="4"/>
    </row>
    <row r="37" spans="1:9">
      <c r="A37" s="5"/>
      <c r="B37" s="5"/>
      <c r="C37" s="5"/>
      <c r="D37" s="5"/>
      <c r="E37" s="5" t="s">
        <v>79</v>
      </c>
      <c r="F37" s="5">
        <v>-0.28721920000000001</v>
      </c>
      <c r="G37" s="5">
        <v>16.6052</v>
      </c>
      <c r="H37" s="5">
        <v>0.98599999999999999</v>
      </c>
      <c r="I37" s="4"/>
    </row>
    <row r="38" spans="1:9">
      <c r="A38" s="5"/>
      <c r="B38" s="5"/>
      <c r="C38" s="5"/>
      <c r="D38" s="5"/>
      <c r="E38" s="5" t="s">
        <v>80</v>
      </c>
      <c r="F38" s="5">
        <v>-0.2432725</v>
      </c>
      <c r="G38" s="5">
        <v>16.572510000000001</v>
      </c>
      <c r="H38" s="5">
        <v>0.98799999999999999</v>
      </c>
      <c r="I38" s="4"/>
    </row>
    <row r="39" spans="1:9">
      <c r="A39" s="5"/>
      <c r="B39" s="5"/>
      <c r="C39" s="5"/>
      <c r="D39" s="5"/>
      <c r="E39" s="5" t="s">
        <v>81</v>
      </c>
      <c r="F39" s="5">
        <v>-3.2901959999999999</v>
      </c>
      <c r="G39" s="5">
        <v>16.632259999999999</v>
      </c>
      <c r="H39" s="5">
        <v>0.84299999999999997</v>
      </c>
      <c r="I39" s="4"/>
    </row>
    <row r="40" spans="1:9">
      <c r="A40" s="5"/>
      <c r="B40" s="5"/>
      <c r="C40" s="5"/>
      <c r="D40" s="5"/>
      <c r="E40" s="5" t="s">
        <v>82</v>
      </c>
      <c r="F40" s="5">
        <v>-1.9561660000000001</v>
      </c>
      <c r="G40" s="5">
        <v>16.562830000000002</v>
      </c>
      <c r="H40" s="5">
        <v>0.90600000000000003</v>
      </c>
      <c r="I40" s="4"/>
    </row>
    <row r="41" spans="1:9">
      <c r="A41" s="5"/>
      <c r="B41" s="5"/>
      <c r="C41" s="5"/>
      <c r="D41" s="5"/>
      <c r="E41" s="5" t="s">
        <v>83</v>
      </c>
      <c r="F41" s="5">
        <v>0.8546454</v>
      </c>
      <c r="G41" s="5">
        <v>16.645669999999999</v>
      </c>
      <c r="H41" s="5">
        <v>0.95899999999999996</v>
      </c>
      <c r="I41" s="4"/>
    </row>
    <row r="42" spans="1:9">
      <c r="A42" s="5"/>
      <c r="B42" s="5"/>
      <c r="C42" s="5"/>
      <c r="D42" s="5"/>
      <c r="E42" s="5" t="s">
        <v>84</v>
      </c>
      <c r="F42" s="5">
        <v>-1.7738560000000001</v>
      </c>
      <c r="G42" s="5">
        <v>16.62171</v>
      </c>
      <c r="H42" s="5">
        <v>0.91500000000000004</v>
      </c>
      <c r="I42" s="4"/>
    </row>
    <row r="43" spans="1:9">
      <c r="A43" s="5"/>
      <c r="B43" s="5"/>
      <c r="C43" s="5"/>
      <c r="D43" s="5"/>
      <c r="E43" s="5" t="s">
        <v>85</v>
      </c>
      <c r="F43" s="5">
        <v>0.3849206</v>
      </c>
      <c r="G43" s="5">
        <v>16.749870000000001</v>
      </c>
      <c r="H43" s="5">
        <v>0.98199999999999998</v>
      </c>
      <c r="I43" s="4"/>
    </row>
    <row r="44" spans="1:9">
      <c r="A44" s="5"/>
      <c r="B44" s="5"/>
      <c r="C44" s="5"/>
      <c r="D44" s="5"/>
      <c r="E44" s="5" t="s">
        <v>86</v>
      </c>
      <c r="F44" s="5">
        <v>-1.249601</v>
      </c>
      <c r="G44" s="5">
        <v>16.654579999999999</v>
      </c>
      <c r="H44" s="5">
        <v>0.94</v>
      </c>
      <c r="I44" s="4"/>
    </row>
    <row r="45" spans="1:9">
      <c r="A45" s="5"/>
      <c r="B45" s="5"/>
      <c r="C45" s="5"/>
      <c r="D45" s="5"/>
      <c r="E45" s="5" t="s">
        <v>46</v>
      </c>
      <c r="F45" s="5">
        <v>44</v>
      </c>
      <c r="G45" s="5">
        <v>11.694089999999999</v>
      </c>
      <c r="H45" s="5">
        <v>0</v>
      </c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F47" s="4"/>
      <c r="G47" s="4"/>
      <c r="H47" s="4"/>
      <c r="I47" s="4"/>
    </row>
    <row r="48" spans="1:9">
      <c r="A48" s="4"/>
      <c r="B48" s="4"/>
      <c r="C48" s="4"/>
      <c r="D48" s="4"/>
      <c r="F48" s="4"/>
      <c r="G48" s="4"/>
      <c r="H48" s="4"/>
      <c r="I48" s="4"/>
    </row>
    <row r="49" spans="1:9">
      <c r="A49" s="4"/>
      <c r="B49" s="4"/>
      <c r="C49" s="4"/>
      <c r="D49" s="4"/>
      <c r="F49" s="4"/>
      <c r="G49" s="4"/>
      <c r="H49" s="4"/>
      <c r="I49" s="4"/>
    </row>
    <row r="50" spans="1:9">
      <c r="F50" s="4"/>
      <c r="G50" s="4"/>
      <c r="H50" s="4"/>
      <c r="I50" s="4"/>
    </row>
    <row r="51" spans="1:9">
      <c r="F51" s="4"/>
      <c r="G51" s="4"/>
      <c r="H51" s="4"/>
      <c r="I51" s="4"/>
    </row>
    <row r="52" spans="1:9">
      <c r="F52" s="4"/>
      <c r="G52" s="4"/>
      <c r="H52" s="4"/>
      <c r="I52" s="4"/>
    </row>
    <row r="53" spans="1:9">
      <c r="F53" s="4"/>
      <c r="G53" s="4"/>
      <c r="H53" s="4"/>
      <c r="I53" s="4"/>
    </row>
    <row r="54" spans="1:9">
      <c r="F54" s="4"/>
      <c r="G54" s="4"/>
      <c r="H54" s="4"/>
      <c r="I54" s="4"/>
    </row>
    <row r="55" spans="1:9">
      <c r="F55" s="4"/>
      <c r="G55" s="4"/>
      <c r="H55" s="4"/>
      <c r="I55" s="4"/>
    </row>
    <row r="56" spans="1:9">
      <c r="F56" s="4"/>
      <c r="G56" s="4"/>
      <c r="H56" s="4"/>
      <c r="I56" s="4"/>
    </row>
    <row r="57" spans="1:9">
      <c r="F57" s="4"/>
      <c r="G57" s="4"/>
      <c r="H57" s="4"/>
      <c r="I57" s="4"/>
    </row>
    <row r="58" spans="1:9">
      <c r="F58" s="4"/>
      <c r="G58" s="4"/>
      <c r="H58" s="4"/>
      <c r="I58" s="4"/>
    </row>
    <row r="59" spans="1:9">
      <c r="F59" s="4"/>
      <c r="G59" s="4"/>
      <c r="H59" s="4"/>
      <c r="I59" s="4"/>
    </row>
    <row r="60" spans="1:9">
      <c r="F60" s="4"/>
      <c r="G60" s="4"/>
      <c r="H60" s="4"/>
      <c r="I60" s="4"/>
    </row>
    <row r="61" spans="1:9">
      <c r="F61" s="4"/>
      <c r="G61" s="4"/>
      <c r="H61" s="4"/>
      <c r="I61" s="4"/>
    </row>
    <row r="62" spans="1:9">
      <c r="F62" s="4"/>
      <c r="G62" s="4"/>
      <c r="H62" s="4"/>
      <c r="I62" s="4"/>
    </row>
    <row r="63" spans="1:9">
      <c r="F63" s="4"/>
      <c r="G63" s="4"/>
      <c r="H63" s="4"/>
      <c r="I63" s="4"/>
    </row>
    <row r="64" spans="1:9">
      <c r="F64" s="4"/>
      <c r="G64" s="4"/>
      <c r="H64" s="4"/>
      <c r="I64" s="4"/>
    </row>
    <row r="65" spans="6:9">
      <c r="F65" s="4"/>
      <c r="G65" s="4"/>
      <c r="H65" s="4"/>
      <c r="I65" s="4"/>
    </row>
    <row r="66" spans="6:9">
      <c r="F66" s="4"/>
      <c r="G66" s="4"/>
      <c r="H66" s="4"/>
      <c r="I66" s="4"/>
    </row>
    <row r="67" spans="6:9">
      <c r="F67" s="4"/>
      <c r="G67" s="4"/>
      <c r="H67" s="4"/>
      <c r="I67" s="4"/>
    </row>
  </sheetData>
  <mergeCells count="4">
    <mergeCell ref="B1:E1"/>
    <mergeCell ref="F1:H1"/>
    <mergeCell ref="K1:N1"/>
    <mergeCell ref="P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CB91-C9A8-4506-A21E-A55155F636B3}">
  <dimension ref="A1:G149"/>
  <sheetViews>
    <sheetView workbookViewId="0">
      <selection sqref="A1:G149"/>
    </sheetView>
  </sheetViews>
  <sheetFormatPr baseColWidth="10" defaultRowHeight="14.4"/>
  <cols>
    <col min="1" max="16384" width="11.5546875" style="10"/>
  </cols>
  <sheetData>
    <row r="1" spans="1:7">
      <c r="A1" s="9"/>
      <c r="B1" s="14" t="s">
        <v>245</v>
      </c>
      <c r="C1" s="14"/>
      <c r="D1" s="14"/>
      <c r="E1" s="14" t="s">
        <v>246</v>
      </c>
      <c r="F1" s="14"/>
      <c r="G1" s="14"/>
    </row>
    <row r="2" spans="1:7">
      <c r="A2" s="9" t="s">
        <v>100</v>
      </c>
      <c r="B2" s="9" t="s">
        <v>96</v>
      </c>
      <c r="C2" s="9" t="s">
        <v>42</v>
      </c>
      <c r="D2" s="9" t="s">
        <v>2</v>
      </c>
      <c r="E2" s="9" t="s">
        <v>96</v>
      </c>
      <c r="F2" s="9" t="s">
        <v>42</v>
      </c>
      <c r="G2" s="9" t="s">
        <v>2</v>
      </c>
    </row>
    <row r="3" spans="1:7">
      <c r="A3" s="9"/>
      <c r="B3" s="9"/>
      <c r="C3" s="9"/>
      <c r="D3" s="9"/>
      <c r="E3" s="9"/>
      <c r="F3" s="9"/>
      <c r="G3" s="9"/>
    </row>
    <row r="4" spans="1:7">
      <c r="A4" s="9" t="s">
        <v>43</v>
      </c>
      <c r="B4" s="9">
        <v>2.2678970000000001</v>
      </c>
      <c r="C4" s="9">
        <v>7.55575E-2</v>
      </c>
      <c r="D4" s="9">
        <v>0</v>
      </c>
      <c r="E4" s="9">
        <v>-0.57638889999999998</v>
      </c>
      <c r="F4" s="9">
        <v>3.545639</v>
      </c>
      <c r="G4" s="9">
        <v>0.871</v>
      </c>
    </row>
    <row r="5" spans="1:7">
      <c r="A5" s="9" t="s">
        <v>101</v>
      </c>
      <c r="B5" s="9"/>
      <c r="C5" s="9"/>
      <c r="D5" s="9"/>
      <c r="E5" s="9">
        <v>-0.25410050000000001</v>
      </c>
      <c r="F5" s="9">
        <v>0.75041409999999997</v>
      </c>
      <c r="G5" s="9">
        <v>0.73499999999999999</v>
      </c>
    </row>
    <row r="6" spans="1:7">
      <c r="A6" s="9" t="s">
        <v>102</v>
      </c>
      <c r="B6" s="9">
        <v>2.5333869999999998</v>
      </c>
      <c r="C6" s="9">
        <v>4.1779000000000002</v>
      </c>
      <c r="D6" s="9">
        <v>0.54400000000000004</v>
      </c>
      <c r="E6" s="9">
        <v>-5.0762169999999998</v>
      </c>
      <c r="F6" s="9">
        <v>53.58511</v>
      </c>
      <c r="G6" s="9">
        <v>0.92500000000000004</v>
      </c>
    </row>
    <row r="7" spans="1:7">
      <c r="A7" s="9" t="s">
        <v>103</v>
      </c>
      <c r="B7" s="9">
        <v>3.1020340000000002</v>
      </c>
      <c r="C7" s="9">
        <v>3.7933189999999999</v>
      </c>
      <c r="D7" s="9">
        <v>0.41399999999999998</v>
      </c>
      <c r="E7" s="9">
        <v>-10.965909999999999</v>
      </c>
      <c r="F7" s="9">
        <v>43.448709999999998</v>
      </c>
      <c r="G7" s="9">
        <v>0.80100000000000005</v>
      </c>
    </row>
    <row r="8" spans="1:7">
      <c r="A8" s="9" t="s">
        <v>104</v>
      </c>
      <c r="B8" s="9">
        <v>4.2557029999999996</v>
      </c>
      <c r="C8" s="9">
        <v>3.7603780000000002</v>
      </c>
      <c r="D8" s="9">
        <v>0.25800000000000001</v>
      </c>
      <c r="E8" s="9">
        <v>-17.421189999999999</v>
      </c>
      <c r="F8" s="9">
        <v>41.047519999999999</v>
      </c>
      <c r="G8" s="9">
        <v>0.67100000000000004</v>
      </c>
    </row>
    <row r="9" spans="1:7">
      <c r="A9" s="9" t="s">
        <v>105</v>
      </c>
      <c r="B9" s="9">
        <v>0.18809880000000001</v>
      </c>
      <c r="C9" s="9">
        <v>3.8796550000000001</v>
      </c>
      <c r="D9" s="9">
        <v>0.96099999999999997</v>
      </c>
      <c r="E9" s="9">
        <v>-13.83145</v>
      </c>
      <c r="F9" s="9">
        <v>40.68927</v>
      </c>
      <c r="G9" s="9">
        <v>0.73399999999999999</v>
      </c>
    </row>
    <row r="10" spans="1:7">
      <c r="A10" s="9" t="s">
        <v>106</v>
      </c>
      <c r="B10" s="9">
        <v>3.3406989999999999</v>
      </c>
      <c r="C10" s="9">
        <v>3.7401550000000001</v>
      </c>
      <c r="D10" s="9">
        <v>0.372</v>
      </c>
      <c r="E10" s="9">
        <v>-24.433039999999998</v>
      </c>
      <c r="F10" s="9">
        <v>39.29618</v>
      </c>
      <c r="G10" s="9">
        <v>0.53400000000000003</v>
      </c>
    </row>
    <row r="11" spans="1:7">
      <c r="A11" s="9" t="s">
        <v>107</v>
      </c>
      <c r="B11" s="9">
        <v>6.3190489999999997</v>
      </c>
      <c r="C11" s="9">
        <v>3.76078</v>
      </c>
      <c r="D11" s="9">
        <v>9.2999999999999999E-2</v>
      </c>
      <c r="E11" s="9">
        <v>-18.820399999999999</v>
      </c>
      <c r="F11" s="9">
        <v>39.342680000000001</v>
      </c>
      <c r="G11" s="9">
        <v>0.63200000000000001</v>
      </c>
    </row>
    <row r="12" spans="1:7">
      <c r="A12" s="9" t="s">
        <v>108</v>
      </c>
      <c r="B12" s="9">
        <v>4.4989119999999998</v>
      </c>
      <c r="C12" s="9">
        <v>3.7595019999999999</v>
      </c>
      <c r="D12" s="9">
        <v>0.23200000000000001</v>
      </c>
      <c r="E12" s="9">
        <v>-15.33174</v>
      </c>
      <c r="F12" s="9">
        <v>37.599910000000001</v>
      </c>
      <c r="G12" s="9">
        <v>0.68300000000000005</v>
      </c>
    </row>
    <row r="13" spans="1:7">
      <c r="A13" s="9" t="s">
        <v>109</v>
      </c>
      <c r="B13" s="9">
        <v>6.4513749999999996</v>
      </c>
      <c r="C13" s="9">
        <v>3.6843819999999998</v>
      </c>
      <c r="D13" s="9">
        <v>0.08</v>
      </c>
      <c r="E13" s="9">
        <v>-29.916840000000001</v>
      </c>
      <c r="F13" s="9">
        <v>37.330730000000003</v>
      </c>
      <c r="G13" s="9">
        <v>0.42299999999999999</v>
      </c>
    </row>
    <row r="14" spans="1:7">
      <c r="A14" s="9" t="s">
        <v>110</v>
      </c>
      <c r="B14" s="9">
        <v>5.7879820000000004</v>
      </c>
      <c r="C14" s="9">
        <v>3.7637489999999998</v>
      </c>
      <c r="D14" s="9">
        <v>0.124</v>
      </c>
      <c r="E14" s="9">
        <v>-32.501950000000001</v>
      </c>
      <c r="F14" s="9">
        <v>37.237520000000004</v>
      </c>
      <c r="G14" s="9">
        <v>0.38300000000000001</v>
      </c>
    </row>
    <row r="15" spans="1:7">
      <c r="A15" s="9" t="s">
        <v>111</v>
      </c>
      <c r="B15" s="9">
        <v>6.9714689999999999</v>
      </c>
      <c r="C15" s="9">
        <v>3.663697</v>
      </c>
      <c r="D15" s="9">
        <v>5.7000000000000002E-2</v>
      </c>
      <c r="E15" s="9">
        <v>-23.789750000000002</v>
      </c>
      <c r="F15" s="9">
        <v>36.064399999999999</v>
      </c>
      <c r="G15" s="9">
        <v>0.51</v>
      </c>
    </row>
    <row r="16" spans="1:7">
      <c r="A16" s="9" t="s">
        <v>112</v>
      </c>
      <c r="B16" s="9">
        <v>6.0338229999999999</v>
      </c>
      <c r="C16" s="9">
        <v>3.6389230000000001</v>
      </c>
      <c r="D16" s="9">
        <v>9.7000000000000003E-2</v>
      </c>
      <c r="E16" s="9">
        <v>-16.29729</v>
      </c>
      <c r="F16" s="9">
        <v>35.41818</v>
      </c>
      <c r="G16" s="9">
        <v>0.64500000000000002</v>
      </c>
    </row>
    <row r="17" spans="1:7">
      <c r="A17" s="9" t="s">
        <v>113</v>
      </c>
      <c r="B17" s="9">
        <v>3.7394270000000001</v>
      </c>
      <c r="C17" s="9">
        <v>3.6489929999999999</v>
      </c>
      <c r="D17" s="9">
        <v>0.30599999999999999</v>
      </c>
      <c r="E17" s="9">
        <v>-25.401070000000001</v>
      </c>
      <c r="F17" s="9">
        <v>35.705660000000002</v>
      </c>
      <c r="G17" s="9">
        <v>0.47699999999999998</v>
      </c>
    </row>
    <row r="18" spans="1:7">
      <c r="A18" s="9" t="s">
        <v>114</v>
      </c>
      <c r="B18" s="9">
        <v>8.2353039999999993</v>
      </c>
      <c r="C18" s="9">
        <v>3.617731</v>
      </c>
      <c r="D18" s="9">
        <v>2.3E-2</v>
      </c>
      <c r="E18" s="9">
        <v>-27.625019999999999</v>
      </c>
      <c r="F18" s="9">
        <v>34.578380000000003</v>
      </c>
      <c r="G18" s="9">
        <v>0.42399999999999999</v>
      </c>
    </row>
    <row r="19" spans="1:7">
      <c r="A19" s="9" t="s">
        <v>115</v>
      </c>
      <c r="B19" s="9">
        <v>8.9121889999999997</v>
      </c>
      <c r="C19" s="9">
        <v>3.5752269999999999</v>
      </c>
      <c r="D19" s="9">
        <v>1.2999999999999999E-2</v>
      </c>
      <c r="E19" s="9">
        <v>-30.686579999999999</v>
      </c>
      <c r="F19" s="9">
        <v>33.79618</v>
      </c>
      <c r="G19" s="9">
        <v>0.36399999999999999</v>
      </c>
    </row>
    <row r="20" spans="1:7">
      <c r="A20" s="9" t="s">
        <v>116</v>
      </c>
      <c r="B20" s="9">
        <v>8.4874690000000008</v>
      </c>
      <c r="C20" s="9">
        <v>3.6064539999999998</v>
      </c>
      <c r="D20" s="9">
        <v>1.9E-2</v>
      </c>
      <c r="E20" s="9">
        <v>-14.77694</v>
      </c>
      <c r="F20" s="9">
        <v>33.38409</v>
      </c>
      <c r="G20" s="9">
        <v>0.65800000000000003</v>
      </c>
    </row>
    <row r="21" spans="1:7">
      <c r="A21" s="9" t="s">
        <v>117</v>
      </c>
      <c r="B21" s="9">
        <v>4.9597749999999996</v>
      </c>
      <c r="C21" s="9">
        <v>3.6486510000000001</v>
      </c>
      <c r="D21" s="9">
        <v>0.17399999999999999</v>
      </c>
      <c r="E21" s="9">
        <v>-28.053129999999999</v>
      </c>
      <c r="F21" s="9">
        <v>32.986879999999999</v>
      </c>
      <c r="G21" s="9">
        <v>0.39500000000000002</v>
      </c>
    </row>
    <row r="22" spans="1:7">
      <c r="A22" s="9" t="s">
        <v>118</v>
      </c>
      <c r="B22" s="9">
        <v>8.8739950000000007</v>
      </c>
      <c r="C22" s="9">
        <v>3.6488550000000002</v>
      </c>
      <c r="D22" s="9">
        <v>1.4999999999999999E-2</v>
      </c>
      <c r="E22" s="9">
        <v>-16.40944</v>
      </c>
      <c r="F22" s="9">
        <v>32.589880000000001</v>
      </c>
      <c r="G22" s="9">
        <v>0.61499999999999999</v>
      </c>
    </row>
    <row r="23" spans="1:7">
      <c r="A23" s="9" t="s">
        <v>119</v>
      </c>
      <c r="B23" s="9">
        <v>7.6840929999999998</v>
      </c>
      <c r="C23" s="9">
        <v>3.6137440000000001</v>
      </c>
      <c r="D23" s="9">
        <v>3.4000000000000002E-2</v>
      </c>
      <c r="E23" s="9">
        <v>-28.631820000000001</v>
      </c>
      <c r="F23" s="9">
        <v>32.250680000000003</v>
      </c>
      <c r="G23" s="9">
        <v>0.375</v>
      </c>
    </row>
    <row r="24" spans="1:7">
      <c r="A24" s="9" t="s">
        <v>120</v>
      </c>
      <c r="B24" s="9">
        <v>6.688428</v>
      </c>
      <c r="C24" s="9">
        <v>3.7187549999999998</v>
      </c>
      <c r="D24" s="9">
        <v>7.1999999999999995E-2</v>
      </c>
      <c r="E24" s="9">
        <v>-31.071670000000001</v>
      </c>
      <c r="F24" s="9">
        <v>31.886700000000001</v>
      </c>
      <c r="G24" s="9">
        <v>0.33</v>
      </c>
    </row>
    <row r="25" spans="1:7">
      <c r="A25" s="9" t="s">
        <v>121</v>
      </c>
      <c r="B25" s="9">
        <v>7.1861129999999998</v>
      </c>
      <c r="C25" s="9">
        <v>3.6582690000000002</v>
      </c>
      <c r="D25" s="9">
        <v>0.05</v>
      </c>
      <c r="E25" s="9">
        <v>-25.474440000000001</v>
      </c>
      <c r="F25" s="9">
        <v>31.65063</v>
      </c>
      <c r="G25" s="9">
        <v>0.42099999999999999</v>
      </c>
    </row>
    <row r="26" spans="1:7">
      <c r="A26" s="9" t="s">
        <v>122</v>
      </c>
      <c r="B26" s="9">
        <v>9.0995559999999998</v>
      </c>
      <c r="C26" s="9">
        <v>3.5920570000000001</v>
      </c>
      <c r="D26" s="9">
        <v>1.0999999999999999E-2</v>
      </c>
      <c r="E26" s="9">
        <v>-28.139089999999999</v>
      </c>
      <c r="F26" s="9">
        <v>31.26371</v>
      </c>
      <c r="G26" s="9">
        <v>0.36799999999999999</v>
      </c>
    </row>
    <row r="27" spans="1:7">
      <c r="A27" s="9" t="s">
        <v>123</v>
      </c>
      <c r="B27" s="9">
        <v>9.193206</v>
      </c>
      <c r="C27" s="9">
        <v>3.6346500000000002</v>
      </c>
      <c r="D27" s="9">
        <v>1.0999999999999999E-2</v>
      </c>
      <c r="E27" s="9">
        <v>-13.68948</v>
      </c>
      <c r="F27" s="9">
        <v>30.809149999999999</v>
      </c>
      <c r="G27" s="9">
        <v>0.65700000000000003</v>
      </c>
    </row>
    <row r="28" spans="1:7">
      <c r="A28" s="9" t="s">
        <v>124</v>
      </c>
      <c r="B28" s="9">
        <v>6.1372020000000003</v>
      </c>
      <c r="C28" s="9">
        <v>3.7263139999999999</v>
      </c>
      <c r="D28" s="9">
        <v>0.1</v>
      </c>
      <c r="E28" s="9">
        <v>-5.8053359999999996</v>
      </c>
      <c r="F28" s="9">
        <v>30.61167</v>
      </c>
      <c r="G28" s="9">
        <v>0.85</v>
      </c>
    </row>
    <row r="29" spans="1:7">
      <c r="A29" s="9" t="s">
        <v>125</v>
      </c>
      <c r="B29" s="9">
        <v>9.1462839999999996</v>
      </c>
      <c r="C29" s="9">
        <v>3.6068280000000001</v>
      </c>
      <c r="D29" s="9">
        <v>1.0999999999999999E-2</v>
      </c>
      <c r="E29" s="9">
        <v>-33.941630000000004</v>
      </c>
      <c r="F29" s="9">
        <v>30.569759999999999</v>
      </c>
      <c r="G29" s="9">
        <v>0.26700000000000002</v>
      </c>
    </row>
    <row r="30" spans="1:7">
      <c r="A30" s="9" t="s">
        <v>126</v>
      </c>
      <c r="B30" s="9">
        <v>4.7905119999999997</v>
      </c>
      <c r="C30" s="9">
        <v>3.766356</v>
      </c>
      <c r="D30" s="9">
        <v>0.20300000000000001</v>
      </c>
      <c r="E30" s="9">
        <v>-25.77638</v>
      </c>
      <c r="F30" s="9">
        <v>30.706209999999999</v>
      </c>
      <c r="G30" s="9">
        <v>0.40100000000000002</v>
      </c>
    </row>
    <row r="31" spans="1:7">
      <c r="A31" s="9" t="s">
        <v>127</v>
      </c>
      <c r="B31" s="9">
        <v>10.172639999999999</v>
      </c>
      <c r="C31" s="9">
        <v>3.6750859999999999</v>
      </c>
      <c r="D31" s="9">
        <v>6.0000000000000001E-3</v>
      </c>
      <c r="E31" s="9">
        <v>-8.1258490000000005</v>
      </c>
      <c r="F31" s="9">
        <v>29.256640000000001</v>
      </c>
      <c r="G31" s="9">
        <v>0.78100000000000003</v>
      </c>
    </row>
    <row r="32" spans="1:7">
      <c r="A32" s="9" t="s">
        <v>128</v>
      </c>
      <c r="B32" s="9">
        <v>7.9808490000000001</v>
      </c>
      <c r="C32" s="9">
        <v>3.6715840000000002</v>
      </c>
      <c r="D32" s="9">
        <v>0.03</v>
      </c>
      <c r="E32" s="9">
        <v>-4.9329640000000001</v>
      </c>
      <c r="F32" s="9">
        <v>29.290890000000001</v>
      </c>
      <c r="G32" s="9">
        <v>0.86599999999999999</v>
      </c>
    </row>
    <row r="33" spans="1:7">
      <c r="A33" s="9" t="s">
        <v>129</v>
      </c>
      <c r="B33" s="9">
        <v>8.2455590000000001</v>
      </c>
      <c r="C33" s="9">
        <v>3.6932019999999999</v>
      </c>
      <c r="D33" s="9">
        <v>2.5999999999999999E-2</v>
      </c>
      <c r="E33" s="9">
        <v>-17.708570000000002</v>
      </c>
      <c r="F33" s="9">
        <v>29.173310000000001</v>
      </c>
      <c r="G33" s="9">
        <v>0.54400000000000004</v>
      </c>
    </row>
    <row r="34" spans="1:7">
      <c r="A34" s="9" t="s">
        <v>130</v>
      </c>
      <c r="B34" s="9">
        <v>12.86168</v>
      </c>
      <c r="C34" s="9">
        <v>3.6883729999999999</v>
      </c>
      <c r="D34" s="9">
        <v>0</v>
      </c>
      <c r="E34" s="9">
        <v>10.163679999999999</v>
      </c>
      <c r="F34" s="9">
        <v>28.378209999999999</v>
      </c>
      <c r="G34" s="9">
        <v>0.72</v>
      </c>
    </row>
    <row r="35" spans="1:7">
      <c r="A35" s="9" t="s">
        <v>131</v>
      </c>
      <c r="B35" s="9">
        <v>5.1690110000000002</v>
      </c>
      <c r="C35" s="9">
        <v>3.7415430000000001</v>
      </c>
      <c r="D35" s="9">
        <v>0.16700000000000001</v>
      </c>
      <c r="E35" s="9">
        <v>-25.91921</v>
      </c>
      <c r="F35" s="9">
        <v>28.674250000000001</v>
      </c>
      <c r="G35" s="9">
        <v>0.36599999999999999</v>
      </c>
    </row>
    <row r="36" spans="1:7">
      <c r="A36" s="9" t="s">
        <v>132</v>
      </c>
      <c r="B36" s="9">
        <v>10.104050000000001</v>
      </c>
      <c r="C36" s="9">
        <v>3.6830250000000002</v>
      </c>
      <c r="D36" s="9">
        <v>6.0000000000000001E-3</v>
      </c>
      <c r="E36" s="9">
        <v>-14.791169999999999</v>
      </c>
      <c r="F36" s="9">
        <v>27.986940000000001</v>
      </c>
      <c r="G36" s="9">
        <v>0.59699999999999998</v>
      </c>
    </row>
    <row r="37" spans="1:7">
      <c r="A37" s="9" t="s">
        <v>133</v>
      </c>
      <c r="B37" s="9">
        <v>7.978389</v>
      </c>
      <c r="C37" s="9">
        <v>3.7947440000000001</v>
      </c>
      <c r="D37" s="9">
        <v>3.5999999999999997E-2</v>
      </c>
      <c r="E37" s="9">
        <v>-13.1655</v>
      </c>
      <c r="F37" s="9">
        <v>27.783449999999998</v>
      </c>
      <c r="G37" s="9">
        <v>0.63600000000000001</v>
      </c>
    </row>
    <row r="38" spans="1:7">
      <c r="A38" s="9" t="s">
        <v>134</v>
      </c>
      <c r="B38" s="9">
        <v>8.0336780000000001</v>
      </c>
      <c r="C38" s="9">
        <v>3.682328</v>
      </c>
      <c r="D38" s="9">
        <v>2.9000000000000001E-2</v>
      </c>
      <c r="E38" s="9">
        <v>-16.167760000000001</v>
      </c>
      <c r="F38" s="9">
        <v>27.398859999999999</v>
      </c>
      <c r="G38" s="9">
        <v>0.55500000000000005</v>
      </c>
    </row>
    <row r="39" spans="1:7">
      <c r="A39" s="9" t="s">
        <v>135</v>
      </c>
      <c r="B39" s="9">
        <v>8.1157909999999998</v>
      </c>
      <c r="C39" s="9">
        <v>3.7483909999999998</v>
      </c>
      <c r="D39" s="9">
        <v>0.03</v>
      </c>
      <c r="E39" s="9">
        <v>-17.597390000000001</v>
      </c>
      <c r="F39" s="9">
        <v>28.31935</v>
      </c>
      <c r="G39" s="9">
        <v>0.53400000000000003</v>
      </c>
    </row>
    <row r="40" spans="1:7">
      <c r="A40" s="9" t="s">
        <v>136</v>
      </c>
      <c r="B40" s="9">
        <v>9.5983160000000005</v>
      </c>
      <c r="C40" s="9">
        <v>3.8096019999999999</v>
      </c>
      <c r="D40" s="9">
        <v>1.2E-2</v>
      </c>
      <c r="E40" s="9">
        <v>1.8034539999999999</v>
      </c>
      <c r="F40" s="9">
        <v>27.942060000000001</v>
      </c>
      <c r="G40" s="9">
        <v>0.94899999999999995</v>
      </c>
    </row>
    <row r="41" spans="1:7">
      <c r="A41" s="9" t="s">
        <v>137</v>
      </c>
      <c r="B41" s="9">
        <v>8.8807019999999994</v>
      </c>
      <c r="C41" s="9">
        <v>3.7156280000000002</v>
      </c>
      <c r="D41" s="9">
        <v>1.7000000000000001E-2</v>
      </c>
      <c r="E41" s="9">
        <v>-11.018050000000001</v>
      </c>
      <c r="F41" s="9">
        <v>27.163170000000001</v>
      </c>
      <c r="G41" s="9">
        <v>0.68500000000000005</v>
      </c>
    </row>
    <row r="42" spans="1:7">
      <c r="A42" s="9" t="s">
        <v>138</v>
      </c>
      <c r="B42" s="9">
        <v>7.2661680000000004</v>
      </c>
      <c r="C42" s="9">
        <v>3.6322320000000001</v>
      </c>
      <c r="D42" s="9">
        <v>4.5999999999999999E-2</v>
      </c>
      <c r="E42" s="9">
        <v>-22.579460000000001</v>
      </c>
      <c r="F42" s="9">
        <v>27.039760000000001</v>
      </c>
      <c r="G42" s="9">
        <v>0.40400000000000003</v>
      </c>
    </row>
    <row r="43" spans="1:7">
      <c r="A43" s="9" t="s">
        <v>139</v>
      </c>
      <c r="B43" s="9">
        <v>5.0526169999999997</v>
      </c>
      <c r="C43" s="9">
        <v>3.671303</v>
      </c>
      <c r="D43" s="9">
        <v>0.16900000000000001</v>
      </c>
      <c r="E43" s="9">
        <v>-0.31436530000000001</v>
      </c>
      <c r="F43" s="9">
        <v>27.101150000000001</v>
      </c>
      <c r="G43" s="9">
        <v>0.99099999999999999</v>
      </c>
    </row>
    <row r="44" spans="1:7">
      <c r="A44" s="9" t="s">
        <v>140</v>
      </c>
      <c r="B44" s="9">
        <v>7.2438019999999996</v>
      </c>
      <c r="C44" s="9">
        <v>3.6899229999999998</v>
      </c>
      <c r="D44" s="9">
        <v>0.05</v>
      </c>
      <c r="E44" s="9">
        <v>-20.108689999999999</v>
      </c>
      <c r="F44" s="9">
        <v>27.02815</v>
      </c>
      <c r="G44" s="9">
        <v>0.45700000000000002</v>
      </c>
    </row>
    <row r="45" spans="1:7">
      <c r="A45" s="9" t="s">
        <v>141</v>
      </c>
      <c r="B45" s="9">
        <v>8.8755769999999998</v>
      </c>
      <c r="C45" s="9">
        <v>3.7627009999999999</v>
      </c>
      <c r="D45" s="9">
        <v>1.7999999999999999E-2</v>
      </c>
      <c r="E45" s="9">
        <v>-16.65174</v>
      </c>
      <c r="F45" s="9">
        <v>27.29045</v>
      </c>
      <c r="G45" s="9">
        <v>0.54200000000000004</v>
      </c>
    </row>
    <row r="46" spans="1:7">
      <c r="A46" s="9" t="s">
        <v>142</v>
      </c>
      <c r="B46" s="9">
        <v>7.9598760000000004</v>
      </c>
      <c r="C46" s="9">
        <v>3.6896939999999998</v>
      </c>
      <c r="D46" s="9">
        <v>3.1E-2</v>
      </c>
      <c r="E46" s="9">
        <v>-13.65892</v>
      </c>
      <c r="F46" s="9">
        <v>27.00074</v>
      </c>
      <c r="G46" s="9">
        <v>0.61299999999999999</v>
      </c>
    </row>
    <row r="47" spans="1:7">
      <c r="A47" s="9" t="s">
        <v>143</v>
      </c>
      <c r="B47" s="9">
        <v>7.8847680000000002</v>
      </c>
      <c r="C47" s="9">
        <v>3.5758230000000002</v>
      </c>
      <c r="D47" s="9">
        <v>2.8000000000000001E-2</v>
      </c>
      <c r="E47" s="9">
        <v>-16.341640000000002</v>
      </c>
      <c r="F47" s="9">
        <v>26.895610000000001</v>
      </c>
      <c r="G47" s="9">
        <v>0.54400000000000004</v>
      </c>
    </row>
    <row r="48" spans="1:7">
      <c r="A48" s="9" t="s">
        <v>144</v>
      </c>
      <c r="B48" s="9">
        <v>7.4572279999999997</v>
      </c>
      <c r="C48" s="9">
        <v>3.6664029999999999</v>
      </c>
      <c r="D48" s="9">
        <v>4.2000000000000003E-2</v>
      </c>
      <c r="E48" s="9">
        <v>-18.697019999999998</v>
      </c>
      <c r="F48" s="9">
        <v>26.912780000000001</v>
      </c>
      <c r="G48" s="9">
        <v>0.48699999999999999</v>
      </c>
    </row>
    <row r="49" spans="1:7">
      <c r="A49" s="9" t="s">
        <v>145</v>
      </c>
      <c r="B49" s="9">
        <v>8.4402489999999997</v>
      </c>
      <c r="C49" s="9">
        <v>3.636644</v>
      </c>
      <c r="D49" s="9">
        <v>0.02</v>
      </c>
      <c r="E49" s="9">
        <v>-40.51155</v>
      </c>
      <c r="F49" s="9">
        <v>27.417870000000001</v>
      </c>
      <c r="G49" s="9">
        <v>0.14000000000000001</v>
      </c>
    </row>
    <row r="50" spans="1:7">
      <c r="A50" s="9" t="s">
        <v>146</v>
      </c>
      <c r="B50" s="9">
        <v>8.5009440000000005</v>
      </c>
      <c r="C50" s="9">
        <v>3.7264240000000002</v>
      </c>
      <c r="D50" s="9">
        <v>2.3E-2</v>
      </c>
      <c r="E50" s="9">
        <v>-13.0908</v>
      </c>
      <c r="F50" s="9">
        <v>28.148569999999999</v>
      </c>
      <c r="G50" s="9">
        <v>0.64200000000000002</v>
      </c>
    </row>
    <row r="51" spans="1:7">
      <c r="A51" s="9" t="s">
        <v>147</v>
      </c>
      <c r="B51" s="9">
        <v>9.1975739999999995</v>
      </c>
      <c r="C51" s="9">
        <v>3.6966869999999998</v>
      </c>
      <c r="D51" s="9">
        <v>1.2999999999999999E-2</v>
      </c>
      <c r="E51" s="9">
        <v>-16.01444</v>
      </c>
      <c r="F51" s="9">
        <v>27.04495</v>
      </c>
      <c r="G51" s="9">
        <v>0.55400000000000005</v>
      </c>
    </row>
    <row r="52" spans="1:7">
      <c r="A52" s="9" t="s">
        <v>148</v>
      </c>
      <c r="B52" s="9">
        <v>6.4134080000000004</v>
      </c>
      <c r="C52" s="9">
        <v>3.6128939999999998</v>
      </c>
      <c r="D52" s="9">
        <v>7.5999999999999998E-2</v>
      </c>
      <c r="E52" s="9">
        <v>-2.6727850000000002</v>
      </c>
      <c r="F52" s="9">
        <v>27.56521</v>
      </c>
      <c r="G52" s="9">
        <v>0.92300000000000004</v>
      </c>
    </row>
    <row r="53" spans="1:7">
      <c r="A53" s="9" t="s">
        <v>149</v>
      </c>
      <c r="B53" s="9">
        <v>7.0825639999999996</v>
      </c>
      <c r="C53" s="9">
        <v>3.5971799999999998</v>
      </c>
      <c r="D53" s="9">
        <v>4.9000000000000002E-2</v>
      </c>
      <c r="E53" s="9">
        <v>-24.661660000000001</v>
      </c>
      <c r="F53" s="9">
        <v>27.434920000000002</v>
      </c>
      <c r="G53" s="9">
        <v>0.36899999999999999</v>
      </c>
    </row>
    <row r="54" spans="1:7">
      <c r="A54" s="9" t="s">
        <v>150</v>
      </c>
      <c r="B54" s="9">
        <v>9.1944479999999995</v>
      </c>
      <c r="C54" s="9">
        <v>3.7633200000000002</v>
      </c>
      <c r="D54" s="9">
        <v>1.4999999999999999E-2</v>
      </c>
      <c r="E54" s="9">
        <v>-15.5954</v>
      </c>
      <c r="F54" s="9">
        <v>28.01718</v>
      </c>
      <c r="G54" s="9">
        <v>0.57799999999999996</v>
      </c>
    </row>
    <row r="55" spans="1:7">
      <c r="A55" s="9" t="s">
        <v>151</v>
      </c>
      <c r="B55" s="9">
        <v>6.2256689999999999</v>
      </c>
      <c r="C55" s="9">
        <v>3.592171</v>
      </c>
      <c r="D55" s="9">
        <v>8.3000000000000004E-2</v>
      </c>
      <c r="E55" s="9">
        <v>-9.8104739999999993</v>
      </c>
      <c r="F55" s="9">
        <v>27.446660000000001</v>
      </c>
      <c r="G55" s="9">
        <v>0.72099999999999997</v>
      </c>
    </row>
    <row r="56" spans="1:7">
      <c r="A56" s="9" t="s">
        <v>152</v>
      </c>
      <c r="B56" s="9">
        <v>7.3061280000000002</v>
      </c>
      <c r="C56" s="9">
        <v>3.6633580000000001</v>
      </c>
      <c r="D56" s="9">
        <v>4.5999999999999999E-2</v>
      </c>
      <c r="E56" s="9">
        <v>-11.651289999999999</v>
      </c>
      <c r="F56" s="9">
        <v>27.946850000000001</v>
      </c>
      <c r="G56" s="9">
        <v>0.67700000000000005</v>
      </c>
    </row>
    <row r="57" spans="1:7">
      <c r="A57" s="9" t="s">
        <v>153</v>
      </c>
      <c r="B57" s="9">
        <v>6.981001</v>
      </c>
      <c r="C57" s="9">
        <v>3.6158389999999998</v>
      </c>
      <c r="D57" s="9">
        <v>5.3999999999999999E-2</v>
      </c>
      <c r="E57" s="9">
        <v>-8.0356089999999991</v>
      </c>
      <c r="F57" s="9">
        <v>27.809650000000001</v>
      </c>
      <c r="G57" s="9">
        <v>0.77300000000000002</v>
      </c>
    </row>
    <row r="58" spans="1:7">
      <c r="A58" s="9" t="s">
        <v>154</v>
      </c>
      <c r="B58" s="9">
        <v>9.234496</v>
      </c>
      <c r="C58" s="9">
        <v>3.7858209999999999</v>
      </c>
      <c r="D58" s="9">
        <v>1.4999999999999999E-2</v>
      </c>
      <c r="E58" s="9">
        <v>13.07053</v>
      </c>
      <c r="F58" s="9">
        <v>29.47334</v>
      </c>
      <c r="G58" s="9">
        <v>0.65700000000000003</v>
      </c>
    </row>
    <row r="59" spans="1:7">
      <c r="A59" s="9" t="s">
        <v>155</v>
      </c>
      <c r="B59" s="9">
        <v>8.3153659999999991</v>
      </c>
      <c r="C59" s="9">
        <v>3.665905</v>
      </c>
      <c r="D59" s="9">
        <v>2.3E-2</v>
      </c>
      <c r="E59" s="9">
        <v>-3.0771670000000002</v>
      </c>
      <c r="F59" s="9">
        <v>28.970279999999999</v>
      </c>
      <c r="G59" s="9">
        <v>0.91500000000000004</v>
      </c>
    </row>
    <row r="60" spans="1:7">
      <c r="A60" s="9" t="s">
        <v>156</v>
      </c>
      <c r="B60" s="9">
        <v>9.0083830000000003</v>
      </c>
      <c r="C60" s="9">
        <v>3.8866260000000001</v>
      </c>
      <c r="D60" s="9">
        <v>2.1000000000000001E-2</v>
      </c>
      <c r="E60" s="9">
        <v>-12.651120000000001</v>
      </c>
      <c r="F60" s="9">
        <v>29.581060000000001</v>
      </c>
      <c r="G60" s="9">
        <v>0.66900000000000004</v>
      </c>
    </row>
    <row r="61" spans="1:7">
      <c r="A61" s="9" t="s">
        <v>157</v>
      </c>
      <c r="B61" s="9">
        <v>11.28979</v>
      </c>
      <c r="C61" s="9">
        <v>3.7558029999999998</v>
      </c>
      <c r="D61" s="9">
        <v>3.0000000000000001E-3</v>
      </c>
      <c r="E61" s="9">
        <v>-33.000779999999999</v>
      </c>
      <c r="F61" s="9">
        <v>29.484120000000001</v>
      </c>
      <c r="G61" s="9">
        <v>0.26300000000000001</v>
      </c>
    </row>
    <row r="62" spans="1:7">
      <c r="A62" s="9" t="s">
        <v>158</v>
      </c>
      <c r="B62" s="9">
        <v>7.3731369999999998</v>
      </c>
      <c r="C62" s="9">
        <v>3.8821599999999998</v>
      </c>
      <c r="D62" s="9">
        <v>5.8000000000000003E-2</v>
      </c>
      <c r="E62" s="9">
        <v>-4.1254860000000004</v>
      </c>
      <c r="F62" s="9">
        <v>30.154689999999999</v>
      </c>
      <c r="G62" s="9">
        <v>0.89100000000000001</v>
      </c>
    </row>
    <row r="63" spans="1:7">
      <c r="A63" s="9" t="s">
        <v>159</v>
      </c>
      <c r="B63" s="9">
        <v>10.547739999999999</v>
      </c>
      <c r="C63" s="9">
        <v>3.981277</v>
      </c>
      <c r="D63" s="9">
        <v>8.0000000000000002E-3</v>
      </c>
      <c r="E63" s="9">
        <v>-8.0833259999999996</v>
      </c>
      <c r="F63" s="9">
        <v>30.304549999999999</v>
      </c>
      <c r="G63" s="9">
        <v>0.79</v>
      </c>
    </row>
    <row r="64" spans="1:7">
      <c r="A64" s="9" t="s">
        <v>160</v>
      </c>
      <c r="B64" s="9">
        <v>8.200177</v>
      </c>
      <c r="C64" s="9">
        <v>3.916436</v>
      </c>
      <c r="D64" s="9">
        <v>3.5999999999999997E-2</v>
      </c>
      <c r="E64" s="9">
        <v>-16.559899999999999</v>
      </c>
      <c r="F64" s="9">
        <v>31.088699999999999</v>
      </c>
      <c r="G64" s="9">
        <v>0.59399999999999997</v>
      </c>
    </row>
    <row r="65" spans="1:7">
      <c r="A65" s="9" t="s">
        <v>161</v>
      </c>
      <c r="B65" s="9">
        <v>12.860939999999999</v>
      </c>
      <c r="C65" s="9">
        <v>4.0524630000000004</v>
      </c>
      <c r="D65" s="9">
        <v>2E-3</v>
      </c>
      <c r="E65" s="9">
        <v>-25.234909999999999</v>
      </c>
      <c r="F65" s="9">
        <v>32.676549999999999</v>
      </c>
      <c r="G65" s="9">
        <v>0.44</v>
      </c>
    </row>
    <row r="66" spans="1:7">
      <c r="A66" s="9" t="s">
        <v>162</v>
      </c>
      <c r="B66" s="9">
        <v>9.5237580000000008</v>
      </c>
      <c r="C66" s="9">
        <v>3.9398919999999999</v>
      </c>
      <c r="D66" s="9">
        <v>1.6E-2</v>
      </c>
      <c r="E66" s="9">
        <v>-22.680859999999999</v>
      </c>
      <c r="F66" s="9">
        <v>31.92296</v>
      </c>
      <c r="G66" s="9">
        <v>0.47699999999999998</v>
      </c>
    </row>
    <row r="67" spans="1:7">
      <c r="A67" s="9" t="s">
        <v>163</v>
      </c>
      <c r="B67" s="9">
        <v>11.57206</v>
      </c>
      <c r="C67" s="9">
        <v>4.1419860000000002</v>
      </c>
      <c r="D67" s="9">
        <v>5.0000000000000001E-3</v>
      </c>
      <c r="E67" s="9">
        <v>0.3462904</v>
      </c>
      <c r="F67" s="9">
        <v>31.628050000000002</v>
      </c>
      <c r="G67" s="9">
        <v>0.99099999999999999</v>
      </c>
    </row>
    <row r="68" spans="1:7">
      <c r="A68" s="9" t="s">
        <v>164</v>
      </c>
      <c r="B68" s="9">
        <v>9.6111269999999998</v>
      </c>
      <c r="C68" s="9">
        <v>4.6501539999999997</v>
      </c>
      <c r="D68" s="9">
        <v>3.9E-2</v>
      </c>
      <c r="E68" s="9">
        <v>-34.69858</v>
      </c>
      <c r="F68" s="9">
        <v>34.05659</v>
      </c>
      <c r="G68" s="9">
        <v>0.308</v>
      </c>
    </row>
    <row r="69" spans="1:7">
      <c r="A69" s="9" t="s">
        <v>165</v>
      </c>
      <c r="B69" s="9">
        <v>9.6396250000000006</v>
      </c>
      <c r="C69" s="9">
        <v>4.5625289999999996</v>
      </c>
      <c r="D69" s="9">
        <v>3.5000000000000003E-2</v>
      </c>
      <c r="E69" s="9">
        <v>-6.1764549999999998</v>
      </c>
      <c r="F69" s="9">
        <v>34.81644</v>
      </c>
      <c r="G69" s="9">
        <v>0.85899999999999999</v>
      </c>
    </row>
    <row r="70" spans="1:7">
      <c r="A70" s="9" t="s">
        <v>166</v>
      </c>
      <c r="B70" s="9">
        <v>1.201816</v>
      </c>
      <c r="C70" s="9">
        <v>4.6472470000000001</v>
      </c>
      <c r="D70" s="9">
        <v>0.79600000000000004</v>
      </c>
      <c r="E70" s="9">
        <v>-0.2109703</v>
      </c>
      <c r="F70" s="9">
        <v>34.873100000000001</v>
      </c>
      <c r="G70" s="9">
        <v>0.995</v>
      </c>
    </row>
    <row r="71" spans="1:7">
      <c r="A71" s="9" t="s">
        <v>167</v>
      </c>
      <c r="B71" s="9">
        <v>11.441649999999999</v>
      </c>
      <c r="C71" s="9">
        <v>4.2216529999999999</v>
      </c>
      <c r="D71" s="9">
        <v>7.0000000000000001E-3</v>
      </c>
      <c r="E71" s="9">
        <v>-7.9010129999999998</v>
      </c>
      <c r="F71" s="9">
        <v>34.119149999999998</v>
      </c>
      <c r="G71" s="9">
        <v>0.81699999999999995</v>
      </c>
    </row>
    <row r="72" spans="1:7">
      <c r="A72" s="9" t="s">
        <v>168</v>
      </c>
      <c r="B72" s="9">
        <v>14.91573</v>
      </c>
      <c r="C72" s="9">
        <v>5.325062</v>
      </c>
      <c r="D72" s="9">
        <v>5.0000000000000001E-3</v>
      </c>
      <c r="E72" s="9">
        <v>6.853472</v>
      </c>
      <c r="F72" s="9">
        <v>38.492280000000001</v>
      </c>
      <c r="G72" s="9">
        <v>0.85899999999999999</v>
      </c>
    </row>
    <row r="73" spans="1:7">
      <c r="A73" s="9" t="s">
        <v>169</v>
      </c>
      <c r="B73" s="9">
        <v>13.62745</v>
      </c>
      <c r="C73" s="9">
        <v>4.9790580000000002</v>
      </c>
      <c r="D73" s="9">
        <v>6.0000000000000001E-3</v>
      </c>
      <c r="E73" s="9">
        <v>6.0877730000000003</v>
      </c>
      <c r="F73" s="9">
        <v>34.88156</v>
      </c>
      <c r="G73" s="9">
        <v>0.86099999999999999</v>
      </c>
    </row>
    <row r="74" spans="1:7">
      <c r="A74" s="9" t="s">
        <v>170</v>
      </c>
      <c r="B74" s="9">
        <v>7.4881859999999998</v>
      </c>
      <c r="C74" s="9">
        <v>6.2289599999999998</v>
      </c>
      <c r="D74" s="9">
        <v>0.22900000000000001</v>
      </c>
      <c r="E74" s="9">
        <v>26.505939999999999</v>
      </c>
      <c r="F74" s="9">
        <v>37.841999999999999</v>
      </c>
      <c r="G74" s="9">
        <v>0.48399999999999999</v>
      </c>
    </row>
    <row r="75" spans="1:7">
      <c r="A75" s="9" t="s">
        <v>171</v>
      </c>
      <c r="B75" s="9">
        <v>12.857710000000001</v>
      </c>
      <c r="C75" s="9">
        <v>6.7720669999999998</v>
      </c>
      <c r="D75" s="9">
        <v>5.8000000000000003E-2</v>
      </c>
      <c r="E75" s="9">
        <v>0</v>
      </c>
      <c r="F75" s="9" t="s">
        <v>98</v>
      </c>
      <c r="G75" s="9"/>
    </row>
    <row r="76" spans="1:7">
      <c r="A76" s="9" t="s">
        <v>172</v>
      </c>
      <c r="B76" s="9">
        <v>8.185136</v>
      </c>
      <c r="C76" s="9">
        <v>4.3107030000000002</v>
      </c>
      <c r="D76" s="9">
        <v>5.8000000000000003E-2</v>
      </c>
      <c r="E76" s="9">
        <v>3.853272</v>
      </c>
      <c r="F76" s="9">
        <v>36.767530000000001</v>
      </c>
      <c r="G76" s="9">
        <v>0.91700000000000004</v>
      </c>
    </row>
    <row r="77" spans="1:7">
      <c r="A77" s="9" t="s">
        <v>43</v>
      </c>
      <c r="B77" s="9"/>
      <c r="C77" s="9"/>
      <c r="D77" s="9"/>
      <c r="E77" s="9">
        <v>0</v>
      </c>
      <c r="F77" s="9" t="s">
        <v>98</v>
      </c>
      <c r="G77" s="9"/>
    </row>
    <row r="78" spans="1:7">
      <c r="A78" s="9" t="s">
        <v>173</v>
      </c>
      <c r="B78" s="9"/>
      <c r="C78" s="9"/>
      <c r="D78" s="9"/>
      <c r="E78" s="9">
        <v>0.85638890000000001</v>
      </c>
      <c r="F78" s="9">
        <v>4.5745820000000004</v>
      </c>
      <c r="G78" s="9">
        <v>0.85199999999999998</v>
      </c>
    </row>
    <row r="79" spans="1:7">
      <c r="A79" s="9" t="s">
        <v>174</v>
      </c>
      <c r="B79" s="9"/>
      <c r="C79" s="9"/>
      <c r="D79" s="9"/>
      <c r="E79" s="9">
        <v>1.495949</v>
      </c>
      <c r="F79" s="9">
        <v>3.8073670000000002</v>
      </c>
      <c r="G79" s="9">
        <v>0.69399999999999995</v>
      </c>
    </row>
    <row r="80" spans="1:7">
      <c r="A80" s="9" t="s">
        <v>175</v>
      </c>
      <c r="B80" s="9"/>
      <c r="C80" s="9"/>
      <c r="D80" s="9"/>
      <c r="E80" s="9">
        <v>2.1104370000000001</v>
      </c>
      <c r="F80" s="9">
        <v>3.6791149999999999</v>
      </c>
      <c r="G80" s="9">
        <v>0.56599999999999995</v>
      </c>
    </row>
    <row r="81" spans="1:7">
      <c r="A81" s="9" t="s">
        <v>176</v>
      </c>
      <c r="B81" s="9"/>
      <c r="C81" s="9"/>
      <c r="D81" s="9"/>
      <c r="E81" s="9">
        <v>1.569475</v>
      </c>
      <c r="F81" s="9">
        <v>3.6873290000000001</v>
      </c>
      <c r="G81" s="9">
        <v>0.67</v>
      </c>
    </row>
    <row r="82" spans="1:7">
      <c r="A82" s="9" t="s">
        <v>177</v>
      </c>
      <c r="B82" s="9"/>
      <c r="C82" s="9"/>
      <c r="D82" s="9"/>
      <c r="E82" s="9">
        <v>2.5979410000000001</v>
      </c>
      <c r="F82" s="9">
        <v>3.6375549999999999</v>
      </c>
      <c r="G82" s="9">
        <v>0.47499999999999998</v>
      </c>
    </row>
    <row r="83" spans="1:7">
      <c r="A83" s="9" t="s">
        <v>178</v>
      </c>
      <c r="B83" s="9"/>
      <c r="C83" s="9"/>
      <c r="D83" s="9"/>
      <c r="E83" s="9">
        <v>2.4259650000000001</v>
      </c>
      <c r="F83" s="9">
        <v>3.6683300000000001</v>
      </c>
      <c r="G83" s="9">
        <v>0.50800000000000001</v>
      </c>
    </row>
    <row r="84" spans="1:7">
      <c r="A84" s="9" t="s">
        <v>179</v>
      </c>
      <c r="B84" s="9"/>
      <c r="C84" s="9"/>
      <c r="D84" s="9"/>
      <c r="E84" s="9">
        <v>2.032054</v>
      </c>
      <c r="F84" s="9">
        <v>3.601928</v>
      </c>
      <c r="G84" s="9">
        <v>0.57299999999999995</v>
      </c>
    </row>
    <row r="85" spans="1:7">
      <c r="A85" s="9" t="s">
        <v>180</v>
      </c>
      <c r="B85" s="9"/>
      <c r="C85" s="9"/>
      <c r="D85" s="9"/>
      <c r="E85" s="9">
        <v>3.2642799999999998</v>
      </c>
      <c r="F85" s="9">
        <v>3.6066090000000002</v>
      </c>
      <c r="G85" s="9">
        <v>0.36499999999999999</v>
      </c>
    </row>
    <row r="86" spans="1:7">
      <c r="A86" s="9" t="s">
        <v>181</v>
      </c>
      <c r="B86" s="9"/>
      <c r="C86" s="9"/>
      <c r="D86" s="9"/>
      <c r="E86" s="9">
        <v>3.413246</v>
      </c>
      <c r="F86" s="9">
        <v>3.6258379999999999</v>
      </c>
      <c r="G86" s="9">
        <v>0.34699999999999998</v>
      </c>
    </row>
    <row r="87" spans="1:7">
      <c r="A87" s="9" t="s">
        <v>182</v>
      </c>
      <c r="B87" s="9"/>
      <c r="C87" s="9"/>
      <c r="D87" s="9"/>
      <c r="E87" s="9">
        <v>2.9084669999999999</v>
      </c>
      <c r="F87" s="9">
        <v>3.59341</v>
      </c>
      <c r="G87" s="9">
        <v>0.41799999999999998</v>
      </c>
    </row>
    <row r="88" spans="1:7">
      <c r="A88" s="9" t="s">
        <v>183</v>
      </c>
      <c r="B88" s="9"/>
      <c r="C88" s="9"/>
      <c r="D88" s="9"/>
      <c r="E88" s="9">
        <v>2.3367059999999999</v>
      </c>
      <c r="F88" s="9">
        <v>3.5863149999999999</v>
      </c>
      <c r="G88" s="9">
        <v>0.51500000000000001</v>
      </c>
    </row>
    <row r="89" spans="1:7">
      <c r="A89" s="9" t="s">
        <v>184</v>
      </c>
      <c r="B89" s="9"/>
      <c r="C89" s="9"/>
      <c r="D89" s="9"/>
      <c r="E89" s="9">
        <v>2.830492</v>
      </c>
      <c r="F89" s="9">
        <v>3.6278510000000002</v>
      </c>
      <c r="G89" s="9">
        <v>0.435</v>
      </c>
    </row>
    <row r="90" spans="1:7">
      <c r="A90" s="9" t="s">
        <v>185</v>
      </c>
      <c r="B90" s="9"/>
      <c r="C90" s="9"/>
      <c r="D90" s="9"/>
      <c r="E90" s="9">
        <v>3.3167759999999999</v>
      </c>
      <c r="F90" s="9">
        <v>3.5914190000000001</v>
      </c>
      <c r="G90" s="9">
        <v>0.35599999999999998</v>
      </c>
    </row>
    <row r="91" spans="1:7">
      <c r="A91" s="9" t="s">
        <v>186</v>
      </c>
      <c r="B91" s="9"/>
      <c r="C91" s="9"/>
      <c r="D91" s="9"/>
      <c r="E91" s="9">
        <v>3.6297380000000001</v>
      </c>
      <c r="F91" s="9">
        <v>3.5797829999999999</v>
      </c>
      <c r="G91" s="9">
        <v>0.311</v>
      </c>
    </row>
    <row r="92" spans="1:7">
      <c r="A92" s="9" t="s">
        <v>187</v>
      </c>
      <c r="B92" s="9"/>
      <c r="C92" s="9"/>
      <c r="D92" s="9"/>
      <c r="E92" s="9">
        <v>2.4657659999999999</v>
      </c>
      <c r="F92" s="9">
        <v>3.5802269999999998</v>
      </c>
      <c r="G92" s="9">
        <v>0.49099999999999999</v>
      </c>
    </row>
    <row r="93" spans="1:7">
      <c r="A93" s="9" t="s">
        <v>188</v>
      </c>
      <c r="B93" s="9"/>
      <c r="C93" s="9"/>
      <c r="D93" s="9"/>
      <c r="E93" s="9">
        <v>3.1850309999999999</v>
      </c>
      <c r="F93" s="9">
        <v>3.5833889999999999</v>
      </c>
      <c r="G93" s="9">
        <v>0.374</v>
      </c>
    </row>
    <row r="94" spans="1:7">
      <c r="A94" s="9" t="s">
        <v>189</v>
      </c>
      <c r="B94" s="9"/>
      <c r="C94" s="9"/>
      <c r="D94" s="9"/>
      <c r="E94" s="9">
        <v>2.6435559999999998</v>
      </c>
      <c r="F94" s="9">
        <v>3.5847329999999999</v>
      </c>
      <c r="G94" s="9">
        <v>0.46100000000000002</v>
      </c>
    </row>
    <row r="95" spans="1:7">
      <c r="A95" s="9" t="s">
        <v>190</v>
      </c>
      <c r="B95" s="9"/>
      <c r="C95" s="9"/>
      <c r="D95" s="9"/>
      <c r="E95" s="9">
        <v>3.4288479999999999</v>
      </c>
      <c r="F95" s="9">
        <v>3.584578</v>
      </c>
      <c r="G95" s="9">
        <v>0.33900000000000002</v>
      </c>
    </row>
    <row r="96" spans="1:7">
      <c r="A96" s="9" t="s">
        <v>191</v>
      </c>
      <c r="B96" s="9"/>
      <c r="C96" s="9"/>
      <c r="D96" s="9"/>
      <c r="E96" s="9">
        <v>3.5296069999999999</v>
      </c>
      <c r="F96" s="9">
        <v>3.5840510000000001</v>
      </c>
      <c r="G96" s="9">
        <v>0.32500000000000001</v>
      </c>
    </row>
    <row r="97" spans="1:7">
      <c r="A97" s="9" t="s">
        <v>192</v>
      </c>
      <c r="B97" s="9"/>
      <c r="C97" s="9"/>
      <c r="D97" s="9"/>
      <c r="E97" s="9">
        <v>3.2124259999999998</v>
      </c>
      <c r="F97" s="9">
        <v>3.592587</v>
      </c>
      <c r="G97" s="9">
        <v>0.371</v>
      </c>
    </row>
    <row r="98" spans="1:7">
      <c r="A98" s="9" t="s">
        <v>193</v>
      </c>
      <c r="B98" s="9"/>
      <c r="C98" s="9"/>
      <c r="D98" s="9"/>
      <c r="E98" s="9">
        <v>3.5353810000000001</v>
      </c>
      <c r="F98" s="9">
        <v>3.5913599999999999</v>
      </c>
      <c r="G98" s="9">
        <v>0.32500000000000001</v>
      </c>
    </row>
    <row r="99" spans="1:7">
      <c r="A99" s="9" t="s">
        <v>194</v>
      </c>
      <c r="B99" s="9"/>
      <c r="C99" s="9"/>
      <c r="D99" s="9"/>
      <c r="E99" s="9">
        <v>2.576165</v>
      </c>
      <c r="F99" s="9">
        <v>3.5885940000000001</v>
      </c>
      <c r="G99" s="9">
        <v>0.47299999999999998</v>
      </c>
    </row>
    <row r="100" spans="1:7">
      <c r="A100" s="9" t="s">
        <v>195</v>
      </c>
      <c r="B100" s="9"/>
      <c r="C100" s="9"/>
      <c r="D100" s="9"/>
      <c r="E100" s="9">
        <v>1.849715</v>
      </c>
      <c r="F100" s="9">
        <v>3.5936680000000001</v>
      </c>
      <c r="G100" s="9">
        <v>0.60699999999999998</v>
      </c>
    </row>
    <row r="101" spans="1:7">
      <c r="A101" s="9" t="s">
        <v>196</v>
      </c>
      <c r="B101" s="9"/>
      <c r="C101" s="9"/>
      <c r="D101" s="9"/>
      <c r="E101" s="9">
        <v>3.9623409999999999</v>
      </c>
      <c r="F101" s="9">
        <v>3.6029429999999998</v>
      </c>
      <c r="G101" s="9">
        <v>0.27200000000000002</v>
      </c>
    </row>
    <row r="102" spans="1:7">
      <c r="A102" s="9" t="s">
        <v>197</v>
      </c>
      <c r="B102" s="9"/>
      <c r="C102" s="9"/>
      <c r="D102" s="9"/>
      <c r="E102" s="9">
        <v>3.1482869999999998</v>
      </c>
      <c r="F102" s="9">
        <v>3.6201560000000002</v>
      </c>
      <c r="G102" s="9">
        <v>0.38500000000000001</v>
      </c>
    </row>
    <row r="103" spans="1:7">
      <c r="A103" s="9" t="s">
        <v>198</v>
      </c>
      <c r="B103" s="9"/>
      <c r="C103" s="9"/>
      <c r="D103" s="9"/>
      <c r="E103" s="9">
        <v>2.303601</v>
      </c>
      <c r="F103" s="9">
        <v>3.5829580000000001</v>
      </c>
      <c r="G103" s="9">
        <v>0.52</v>
      </c>
    </row>
    <row r="104" spans="1:7">
      <c r="A104" s="9" t="s">
        <v>199</v>
      </c>
      <c r="B104" s="9"/>
      <c r="C104" s="9"/>
      <c r="D104" s="9"/>
      <c r="E104" s="9">
        <v>1.9810449999999999</v>
      </c>
      <c r="F104" s="9">
        <v>3.5915810000000001</v>
      </c>
      <c r="G104" s="9">
        <v>0.58099999999999996</v>
      </c>
    </row>
    <row r="105" spans="1:7">
      <c r="A105" s="9" t="s">
        <v>200</v>
      </c>
      <c r="B105" s="9"/>
      <c r="C105" s="9"/>
      <c r="D105" s="9"/>
      <c r="E105" s="9">
        <v>2.8913340000000001</v>
      </c>
      <c r="F105" s="9">
        <v>3.5972439999999999</v>
      </c>
      <c r="G105" s="9">
        <v>0.42199999999999999</v>
      </c>
    </row>
    <row r="106" spans="1:7">
      <c r="A106" s="9" t="s">
        <v>201</v>
      </c>
      <c r="B106" s="9"/>
      <c r="C106" s="9"/>
      <c r="D106" s="9"/>
      <c r="E106" s="9">
        <v>1.1840040000000001</v>
      </c>
      <c r="F106" s="9">
        <v>3.5827550000000001</v>
      </c>
      <c r="G106" s="9">
        <v>0.74099999999999999</v>
      </c>
    </row>
    <row r="107" spans="1:7">
      <c r="A107" s="9" t="s">
        <v>202</v>
      </c>
      <c r="B107" s="9"/>
      <c r="C107" s="9"/>
      <c r="D107" s="9"/>
      <c r="E107" s="9">
        <v>3.298651</v>
      </c>
      <c r="F107" s="9">
        <v>3.6018189999999999</v>
      </c>
      <c r="G107" s="9">
        <v>0.36</v>
      </c>
    </row>
    <row r="108" spans="1:7">
      <c r="A108" s="9" t="s">
        <v>203</v>
      </c>
      <c r="B108" s="9"/>
      <c r="C108" s="9"/>
      <c r="D108" s="9"/>
      <c r="E108" s="9">
        <v>2.8721920000000001</v>
      </c>
      <c r="F108" s="9">
        <v>3.5827089999999999</v>
      </c>
      <c r="G108" s="9">
        <v>0.42299999999999999</v>
      </c>
    </row>
    <row r="109" spans="1:7">
      <c r="A109" s="9" t="s">
        <v>204</v>
      </c>
      <c r="B109" s="9"/>
      <c r="C109" s="9"/>
      <c r="D109" s="9"/>
      <c r="E109" s="9">
        <v>2.6170179999999998</v>
      </c>
      <c r="F109" s="9">
        <v>3.5840360000000002</v>
      </c>
      <c r="G109" s="9">
        <v>0.46500000000000002</v>
      </c>
    </row>
    <row r="110" spans="1:7">
      <c r="A110" s="9" t="s">
        <v>205</v>
      </c>
      <c r="B110" s="9"/>
      <c r="C110" s="9"/>
      <c r="D110" s="9"/>
      <c r="E110" s="9">
        <v>2.8591419999999999</v>
      </c>
      <c r="F110" s="9">
        <v>3.575688</v>
      </c>
      <c r="G110" s="9">
        <v>0.42399999999999999</v>
      </c>
    </row>
    <row r="111" spans="1:7">
      <c r="A111" s="9" t="s">
        <v>206</v>
      </c>
      <c r="B111" s="9"/>
      <c r="C111" s="9"/>
      <c r="D111" s="9"/>
      <c r="E111" s="9">
        <v>2.9729890000000001</v>
      </c>
      <c r="F111" s="9">
        <v>3.6058219999999999</v>
      </c>
      <c r="G111" s="9">
        <v>0.41</v>
      </c>
    </row>
    <row r="112" spans="1:7">
      <c r="A112" s="9" t="s">
        <v>207</v>
      </c>
      <c r="B112" s="9"/>
      <c r="C112" s="9"/>
      <c r="D112" s="9"/>
      <c r="E112" s="9">
        <v>1.746084</v>
      </c>
      <c r="F112" s="9">
        <v>3.6054059999999999</v>
      </c>
      <c r="G112" s="9">
        <v>0.628</v>
      </c>
    </row>
    <row r="113" spans="1:7">
      <c r="A113" s="9" t="s">
        <v>208</v>
      </c>
      <c r="B113" s="9"/>
      <c r="C113" s="9"/>
      <c r="D113" s="9"/>
      <c r="E113" s="9">
        <v>2.610357</v>
      </c>
      <c r="F113" s="9">
        <v>3.581493</v>
      </c>
      <c r="G113" s="9">
        <v>0.46600000000000003</v>
      </c>
    </row>
    <row r="114" spans="1:7">
      <c r="A114" s="9" t="s">
        <v>209</v>
      </c>
      <c r="B114" s="9"/>
      <c r="C114" s="9"/>
      <c r="D114" s="9"/>
      <c r="E114" s="9">
        <v>3.3329569999999999</v>
      </c>
      <c r="F114" s="9">
        <v>3.582303</v>
      </c>
      <c r="G114" s="9">
        <v>0.35199999999999998</v>
      </c>
    </row>
    <row r="115" spans="1:7">
      <c r="A115" s="9" t="s">
        <v>210</v>
      </c>
      <c r="B115" s="9"/>
      <c r="C115" s="9"/>
      <c r="D115" s="9"/>
      <c r="E115" s="9">
        <v>1.651044</v>
      </c>
      <c r="F115" s="9">
        <v>3.5849220000000002</v>
      </c>
      <c r="G115" s="9">
        <v>0.64500000000000002</v>
      </c>
    </row>
    <row r="116" spans="1:7">
      <c r="A116" s="9" t="s">
        <v>211</v>
      </c>
      <c r="B116" s="9"/>
      <c r="C116" s="9"/>
      <c r="D116" s="9"/>
      <c r="E116" s="9">
        <v>3.1959659999999999</v>
      </c>
      <c r="F116" s="9">
        <v>3.5883250000000002</v>
      </c>
      <c r="G116" s="9">
        <v>0.373</v>
      </c>
    </row>
    <row r="117" spans="1:7">
      <c r="A117" s="9" t="s">
        <v>212</v>
      </c>
      <c r="B117" s="9"/>
      <c r="C117" s="9"/>
      <c r="D117" s="9"/>
      <c r="E117" s="9">
        <v>3.0779489999999998</v>
      </c>
      <c r="F117" s="9">
        <v>3.597785</v>
      </c>
      <c r="G117" s="9">
        <v>0.39200000000000002</v>
      </c>
    </row>
    <row r="118" spans="1:7">
      <c r="A118" s="9" t="s">
        <v>213</v>
      </c>
      <c r="B118" s="9"/>
      <c r="C118" s="9"/>
      <c r="D118" s="9"/>
      <c r="E118" s="9">
        <v>2.8193809999999999</v>
      </c>
      <c r="F118" s="9">
        <v>3.5902560000000001</v>
      </c>
      <c r="G118" s="9">
        <v>0.432</v>
      </c>
    </row>
    <row r="119" spans="1:7">
      <c r="A119" s="9" t="s">
        <v>214</v>
      </c>
      <c r="B119" s="9"/>
      <c r="C119" s="9"/>
      <c r="D119" s="9"/>
      <c r="E119" s="9">
        <v>3.0257520000000002</v>
      </c>
      <c r="F119" s="9">
        <v>3.5864980000000002</v>
      </c>
      <c r="G119" s="9">
        <v>0.39900000000000002</v>
      </c>
    </row>
    <row r="120" spans="1:7">
      <c r="A120" s="9" t="s">
        <v>215</v>
      </c>
      <c r="B120" s="9"/>
      <c r="C120" s="9"/>
      <c r="D120" s="9"/>
      <c r="E120" s="9">
        <v>3.1599219999999999</v>
      </c>
      <c r="F120" s="9">
        <v>3.5807000000000002</v>
      </c>
      <c r="G120" s="9">
        <v>0.378</v>
      </c>
    </row>
    <row r="121" spans="1:7">
      <c r="A121" s="9" t="s">
        <v>216</v>
      </c>
      <c r="B121" s="9"/>
      <c r="C121" s="9"/>
      <c r="D121" s="9"/>
      <c r="E121" s="9">
        <v>4.8638149999999998</v>
      </c>
      <c r="F121" s="9">
        <v>3.6055329999999999</v>
      </c>
      <c r="G121" s="9">
        <v>0.17699999999999999</v>
      </c>
    </row>
    <row r="122" spans="1:7">
      <c r="A122" s="9" t="s">
        <v>217</v>
      </c>
      <c r="B122" s="9"/>
      <c r="C122" s="9"/>
      <c r="D122" s="9"/>
      <c r="E122" s="9">
        <v>2.888188</v>
      </c>
      <c r="F122" s="9">
        <v>3.6216110000000001</v>
      </c>
      <c r="G122" s="9">
        <v>0.42499999999999999</v>
      </c>
    </row>
    <row r="123" spans="1:7">
      <c r="A123" s="9" t="s">
        <v>218</v>
      </c>
      <c r="B123" s="9"/>
      <c r="C123" s="9"/>
      <c r="D123" s="9"/>
      <c r="E123" s="9">
        <v>3.1763059999999999</v>
      </c>
      <c r="F123" s="9">
        <v>3.585359</v>
      </c>
      <c r="G123" s="9">
        <v>0.376</v>
      </c>
    </row>
    <row r="124" spans="1:7">
      <c r="A124" s="9" t="s">
        <v>219</v>
      </c>
      <c r="B124" s="9"/>
      <c r="C124" s="9"/>
      <c r="D124" s="9"/>
      <c r="E124" s="9">
        <v>2.0548959999999998</v>
      </c>
      <c r="F124" s="9">
        <v>3.5970979999999999</v>
      </c>
      <c r="G124" s="9">
        <v>0.56799999999999995</v>
      </c>
    </row>
    <row r="125" spans="1:7">
      <c r="A125" s="9" t="s">
        <v>220</v>
      </c>
      <c r="B125" s="9"/>
      <c r="C125" s="9"/>
      <c r="D125" s="9"/>
      <c r="E125" s="9">
        <v>3.6699959999999998</v>
      </c>
      <c r="F125" s="9">
        <v>3.5901930000000002</v>
      </c>
      <c r="G125" s="9">
        <v>0.307</v>
      </c>
    </row>
    <row r="126" spans="1:7">
      <c r="A126" s="9" t="s">
        <v>221</v>
      </c>
      <c r="B126" s="9"/>
      <c r="C126" s="9"/>
      <c r="D126" s="9"/>
      <c r="E126" s="9">
        <v>3.183897</v>
      </c>
      <c r="F126" s="9">
        <v>3.6041310000000002</v>
      </c>
      <c r="G126" s="9">
        <v>0.377</v>
      </c>
    </row>
    <row r="127" spans="1:7">
      <c r="A127" s="9" t="s">
        <v>222</v>
      </c>
      <c r="B127" s="9"/>
      <c r="C127" s="9"/>
      <c r="D127" s="9"/>
      <c r="E127" s="9">
        <v>2.5814889999999999</v>
      </c>
      <c r="F127" s="9">
        <v>3.579539</v>
      </c>
      <c r="G127" s="9">
        <v>0.47099999999999997</v>
      </c>
    </row>
    <row r="128" spans="1:7">
      <c r="A128" s="9" t="s">
        <v>223</v>
      </c>
      <c r="B128" s="9"/>
      <c r="C128" s="9"/>
      <c r="D128" s="9"/>
      <c r="E128" s="9">
        <v>2.8117489999999998</v>
      </c>
      <c r="F128" s="9">
        <v>3.5893169999999999</v>
      </c>
      <c r="G128" s="9">
        <v>0.433</v>
      </c>
    </row>
    <row r="129" spans="1:7">
      <c r="A129" s="9" t="s">
        <v>224</v>
      </c>
      <c r="B129" s="9"/>
      <c r="C129" s="9"/>
      <c r="D129" s="9"/>
      <c r="E129" s="9">
        <v>2.546049</v>
      </c>
      <c r="F129" s="9">
        <v>3.5782940000000001</v>
      </c>
      <c r="G129" s="9">
        <v>0.47699999999999998</v>
      </c>
    </row>
    <row r="130" spans="1:7">
      <c r="A130" s="9" t="s">
        <v>225</v>
      </c>
      <c r="B130" s="9"/>
      <c r="C130" s="9"/>
      <c r="D130" s="9"/>
      <c r="E130" s="9">
        <v>1.264438</v>
      </c>
      <c r="F130" s="9">
        <v>3.6308940000000001</v>
      </c>
      <c r="G130" s="9">
        <v>0.72799999999999998</v>
      </c>
    </row>
    <row r="131" spans="1:7">
      <c r="A131" s="9" t="s">
        <v>226</v>
      </c>
      <c r="B131" s="9"/>
      <c r="C131" s="9"/>
      <c r="D131" s="9"/>
      <c r="E131" s="9">
        <v>2.3531399999999998</v>
      </c>
      <c r="F131" s="9">
        <v>3.5999590000000001</v>
      </c>
      <c r="G131" s="9">
        <v>0.51300000000000001</v>
      </c>
    </row>
    <row r="132" spans="1:7">
      <c r="A132" s="9" t="s">
        <v>227</v>
      </c>
      <c r="B132" s="9"/>
      <c r="C132" s="9"/>
      <c r="D132" s="9"/>
      <c r="E132" s="9">
        <v>3.0586159999999998</v>
      </c>
      <c r="F132" s="9">
        <v>3.6090559999999998</v>
      </c>
      <c r="G132" s="9">
        <v>0.39700000000000002</v>
      </c>
    </row>
    <row r="133" spans="1:7">
      <c r="A133" s="9" t="s">
        <v>228</v>
      </c>
      <c r="B133" s="9"/>
      <c r="C133" s="9"/>
      <c r="D133" s="9"/>
      <c r="E133" s="9">
        <v>4.6005070000000003</v>
      </c>
      <c r="F133" s="9">
        <v>3.5988319999999998</v>
      </c>
      <c r="G133" s="9">
        <v>0.20100000000000001</v>
      </c>
    </row>
    <row r="134" spans="1:7">
      <c r="A134" s="9" t="s">
        <v>229</v>
      </c>
      <c r="B134" s="9"/>
      <c r="C134" s="9"/>
      <c r="D134" s="9"/>
      <c r="E134" s="9">
        <v>2.395966</v>
      </c>
      <c r="F134" s="9">
        <v>3.6185619999999998</v>
      </c>
      <c r="G134" s="9">
        <v>0.50800000000000001</v>
      </c>
    </row>
    <row r="135" spans="1:7">
      <c r="A135" s="9" t="s">
        <v>230</v>
      </c>
      <c r="B135" s="9"/>
      <c r="C135" s="9"/>
      <c r="D135" s="9"/>
      <c r="E135" s="9">
        <v>2.9107720000000001</v>
      </c>
      <c r="F135" s="9">
        <v>3.6069719999999998</v>
      </c>
      <c r="G135" s="9">
        <v>0.42</v>
      </c>
    </row>
    <row r="136" spans="1:7">
      <c r="A136" s="9" t="s">
        <v>231</v>
      </c>
      <c r="B136" s="9"/>
      <c r="C136" s="9"/>
      <c r="D136" s="9"/>
      <c r="E136" s="9">
        <v>3.3683640000000001</v>
      </c>
      <c r="F136" s="9">
        <v>3.6346539999999998</v>
      </c>
      <c r="G136" s="9">
        <v>0.35399999999999998</v>
      </c>
    </row>
    <row r="137" spans="1:7">
      <c r="A137" s="9" t="s">
        <v>232</v>
      </c>
      <c r="B137" s="9"/>
      <c r="C137" s="9"/>
      <c r="D137" s="9"/>
      <c r="E137" s="9">
        <v>4.3372190000000002</v>
      </c>
      <c r="F137" s="9">
        <v>3.6903779999999999</v>
      </c>
      <c r="G137" s="9">
        <v>0.24</v>
      </c>
    </row>
    <row r="138" spans="1:7">
      <c r="A138" s="9" t="s">
        <v>233</v>
      </c>
      <c r="B138" s="9"/>
      <c r="C138" s="9"/>
      <c r="D138" s="9"/>
      <c r="E138" s="9">
        <v>3.865863</v>
      </c>
      <c r="F138" s="9">
        <v>3.6307459999999998</v>
      </c>
      <c r="G138" s="9">
        <v>0.28699999999999998</v>
      </c>
    </row>
    <row r="139" spans="1:7">
      <c r="A139" s="9" t="s">
        <v>234</v>
      </c>
      <c r="B139" s="9"/>
      <c r="C139" s="9"/>
      <c r="D139" s="9"/>
      <c r="E139" s="9">
        <v>2.418393</v>
      </c>
      <c r="F139" s="9">
        <v>3.6276280000000001</v>
      </c>
      <c r="G139" s="9">
        <v>0.505</v>
      </c>
    </row>
    <row r="140" spans="1:7">
      <c r="A140" s="9" t="s">
        <v>235</v>
      </c>
      <c r="B140" s="9"/>
      <c r="C140" s="9"/>
      <c r="D140" s="9"/>
      <c r="E140" s="9">
        <v>4.7260489999999997</v>
      </c>
      <c r="F140" s="9">
        <v>3.6875200000000001</v>
      </c>
      <c r="G140" s="9">
        <v>0.2</v>
      </c>
    </row>
    <row r="141" spans="1:7">
      <c r="A141" s="9" t="s">
        <v>236</v>
      </c>
      <c r="B141" s="9"/>
      <c r="C141" s="9"/>
      <c r="D141" s="9"/>
      <c r="E141" s="9">
        <v>2.822222</v>
      </c>
      <c r="F141" s="9">
        <v>3.7316769999999999</v>
      </c>
      <c r="G141" s="9">
        <v>0.45</v>
      </c>
    </row>
    <row r="142" spans="1:7">
      <c r="A142" s="9" t="s">
        <v>237</v>
      </c>
      <c r="B142" s="9"/>
      <c r="C142" s="9"/>
      <c r="D142" s="9"/>
      <c r="E142" s="9">
        <v>1.8176570000000001</v>
      </c>
      <c r="F142" s="9">
        <v>3.7070889999999999</v>
      </c>
      <c r="G142" s="9">
        <v>0.624</v>
      </c>
    </row>
    <row r="143" spans="1:7">
      <c r="A143" s="9" t="s">
        <v>238</v>
      </c>
      <c r="B143" s="9"/>
      <c r="C143" s="9"/>
      <c r="D143" s="9"/>
      <c r="E143" s="9">
        <v>3.1108720000000001</v>
      </c>
      <c r="F143" s="9">
        <v>3.6567560000000001</v>
      </c>
      <c r="G143" s="9">
        <v>0.39500000000000002</v>
      </c>
    </row>
    <row r="144" spans="1:7">
      <c r="A144" s="9" t="s">
        <v>239</v>
      </c>
      <c r="B144" s="9"/>
      <c r="C144" s="9"/>
      <c r="D144" s="9"/>
      <c r="E144" s="9">
        <v>2.3497699999999999</v>
      </c>
      <c r="F144" s="9">
        <v>3.8177490000000001</v>
      </c>
      <c r="G144" s="9">
        <v>0.53800000000000003</v>
      </c>
    </row>
    <row r="145" spans="1:7">
      <c r="A145" s="9" t="s">
        <v>240</v>
      </c>
      <c r="B145" s="9"/>
      <c r="C145" s="9"/>
      <c r="D145" s="9"/>
      <c r="E145" s="9">
        <v>2.21407</v>
      </c>
      <c r="F145" s="9">
        <v>3.6851919999999998</v>
      </c>
      <c r="G145" s="9">
        <v>0.54800000000000004</v>
      </c>
    </row>
    <row r="146" spans="1:7">
      <c r="A146" s="9" t="s">
        <v>241</v>
      </c>
      <c r="B146" s="9"/>
      <c r="C146" s="9"/>
      <c r="D146" s="9"/>
      <c r="E146" s="9">
        <v>-0.1264083</v>
      </c>
      <c r="F146" s="9">
        <v>3.8737659999999998</v>
      </c>
      <c r="G146" s="9">
        <v>0.97399999999999998</v>
      </c>
    </row>
    <row r="147" spans="1:7">
      <c r="A147" s="9" t="s">
        <v>242</v>
      </c>
      <c r="B147" s="9"/>
      <c r="C147" s="9"/>
      <c r="D147" s="9"/>
      <c r="E147" s="9">
        <v>2.7245370000000002</v>
      </c>
      <c r="F147" s="9">
        <v>4.2105949999999996</v>
      </c>
      <c r="G147" s="9">
        <v>0.51800000000000002</v>
      </c>
    </row>
    <row r="148" spans="1:7">
      <c r="A148" s="9" t="s">
        <v>243</v>
      </c>
      <c r="B148" s="9"/>
      <c r="C148" s="9"/>
      <c r="D148" s="9"/>
      <c r="E148" s="9">
        <v>2.090538</v>
      </c>
      <c r="F148" s="9">
        <v>3.6963210000000002</v>
      </c>
      <c r="G148" s="9">
        <v>0.57199999999999995</v>
      </c>
    </row>
    <row r="149" spans="1:7">
      <c r="A149" s="9" t="s">
        <v>46</v>
      </c>
      <c r="B149" s="9">
        <v>5.2577910000000001</v>
      </c>
      <c r="C149" s="9">
        <v>3.3937729999999999</v>
      </c>
      <c r="D149" s="9">
        <v>0.121</v>
      </c>
      <c r="E149" s="9">
        <v>42.212699999999998</v>
      </c>
      <c r="F149" s="9">
        <v>51.633690000000001</v>
      </c>
      <c r="G149" s="9">
        <v>0.41399999999999998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CD40-145E-4B2D-9322-2F6DB4BD1DD4}">
  <dimension ref="A1:S73"/>
  <sheetViews>
    <sheetView topLeftCell="H43" workbookViewId="0">
      <selection activeCell="N3" sqref="N3"/>
    </sheetView>
  </sheetViews>
  <sheetFormatPr baseColWidth="10" defaultColWidth="12.88671875" defaultRowHeight="12"/>
  <cols>
    <col min="1" max="1" width="10.44140625" style="2" customWidth="1"/>
    <col min="2" max="2" width="8.44140625" style="2" customWidth="1"/>
    <col min="3" max="3" width="8.33203125" style="2" customWidth="1"/>
    <col min="4" max="4" width="6.44140625" style="2" customWidth="1"/>
    <col min="5" max="5" width="11.109375" style="2" customWidth="1"/>
    <col min="6" max="6" width="10.109375" style="2" customWidth="1"/>
    <col min="7" max="7" width="9.44140625" style="2" customWidth="1"/>
    <col min="8" max="8" width="6.21875" style="2" customWidth="1"/>
    <col min="9" max="16384" width="12.88671875" style="2"/>
  </cols>
  <sheetData>
    <row r="1" spans="1:19">
      <c r="A1" s="5"/>
      <c r="B1" s="11" t="s">
        <v>88</v>
      </c>
      <c r="C1" s="11"/>
      <c r="D1" s="11"/>
      <c r="E1" s="11"/>
      <c r="F1" s="11" t="s">
        <v>89</v>
      </c>
      <c r="G1" s="11"/>
      <c r="H1" s="11"/>
      <c r="K1" s="13" t="s">
        <v>44</v>
      </c>
      <c r="L1" s="13"/>
      <c r="M1" s="13"/>
      <c r="N1" s="13"/>
      <c r="P1" s="13" t="s">
        <v>44</v>
      </c>
      <c r="Q1" s="13"/>
      <c r="R1" s="13"/>
      <c r="S1" s="13"/>
    </row>
    <row r="2" spans="1:19">
      <c r="A2" s="1"/>
      <c r="B2" s="6" t="s">
        <v>87</v>
      </c>
      <c r="C2" s="6" t="s">
        <v>42</v>
      </c>
      <c r="D2" s="6" t="s">
        <v>2</v>
      </c>
      <c r="E2" s="6"/>
      <c r="F2" s="6" t="s">
        <v>87</v>
      </c>
      <c r="G2" s="6" t="s">
        <v>42</v>
      </c>
      <c r="H2" s="6" t="s">
        <v>2</v>
      </c>
      <c r="I2" s="3"/>
      <c r="K2" s="2" t="s">
        <v>90</v>
      </c>
      <c r="L2" s="2" t="s">
        <v>91</v>
      </c>
      <c r="M2" s="2" t="s">
        <v>247</v>
      </c>
      <c r="N2" s="2" t="s">
        <v>93</v>
      </c>
      <c r="P2" s="2" t="s">
        <v>90</v>
      </c>
      <c r="Q2" s="2" t="s">
        <v>91</v>
      </c>
      <c r="R2" s="2" t="s">
        <v>92</v>
      </c>
      <c r="S2" s="2" t="s">
        <v>93</v>
      </c>
    </row>
    <row r="3" spans="1:19">
      <c r="A3" s="5" t="s">
        <v>43</v>
      </c>
      <c r="B3" s="5">
        <v>0.74039529999999998</v>
      </c>
      <c r="C3" s="5">
        <v>0.58626920000000005</v>
      </c>
      <c r="D3" s="5">
        <v>0.20699999999999999</v>
      </c>
      <c r="E3" s="5" t="s">
        <v>43</v>
      </c>
      <c r="F3" s="5">
        <v>0.75263159999999996</v>
      </c>
      <c r="G3" s="5">
        <v>0.58853880000000003</v>
      </c>
      <c r="H3" s="5">
        <v>0.20100000000000001</v>
      </c>
      <c r="I3" s="4"/>
      <c r="K3" s="2">
        <v>9.14</v>
      </c>
      <c r="L3" s="2">
        <v>2.31</v>
      </c>
      <c r="M3" s="2">
        <v>19</v>
      </c>
      <c r="N3" s="2">
        <f>(K3+(L3*M3))</f>
        <v>53.03</v>
      </c>
      <c r="P3" s="2">
        <v>13.77</v>
      </c>
      <c r="Q3" s="2">
        <v>2.21</v>
      </c>
      <c r="R3" s="2">
        <v>1</v>
      </c>
      <c r="S3" s="2">
        <f>(P3+(Q3*R3))</f>
        <v>15.98</v>
      </c>
    </row>
    <row r="4" spans="1:19">
      <c r="A4" s="5" t="s">
        <v>47</v>
      </c>
      <c r="B4" s="5">
        <v>-0.74039529999999998</v>
      </c>
      <c r="C4" s="5">
        <v>16.114280000000001</v>
      </c>
      <c r="D4" s="5">
        <v>0.96299999999999997</v>
      </c>
      <c r="E4" s="5" t="s">
        <v>47</v>
      </c>
      <c r="F4" s="5">
        <v>-0.75263159999999996</v>
      </c>
      <c r="G4" s="5">
        <v>16.129940000000001</v>
      </c>
      <c r="H4" s="5">
        <v>0.96299999999999997</v>
      </c>
      <c r="I4" s="4"/>
      <c r="K4" s="2">
        <v>9.14</v>
      </c>
      <c r="L4" s="2">
        <v>2.31</v>
      </c>
      <c r="M4" s="2">
        <v>20</v>
      </c>
      <c r="N4" s="2">
        <f t="shared" ref="N4:N67" si="0">(K4+(L4*M4))</f>
        <v>55.34</v>
      </c>
      <c r="P4" s="2">
        <v>13.77</v>
      </c>
      <c r="Q4" s="2">
        <v>2.21</v>
      </c>
      <c r="R4" s="2">
        <v>2</v>
      </c>
      <c r="S4" s="2">
        <f t="shared" ref="S4:S22" si="1">(P4+(Q4*R4))</f>
        <v>18.189999999999998</v>
      </c>
    </row>
    <row r="5" spans="1:19">
      <c r="A5" s="5" t="s">
        <v>48</v>
      </c>
      <c r="B5" s="5">
        <v>-18.119260000000001</v>
      </c>
      <c r="C5" s="5">
        <v>13.373200000000001</v>
      </c>
      <c r="D5" s="5">
        <v>0.17599999999999999</v>
      </c>
      <c r="E5" s="5" t="s">
        <v>48</v>
      </c>
      <c r="F5" s="5">
        <v>-18.50526</v>
      </c>
      <c r="G5" s="5">
        <v>15.733370000000001</v>
      </c>
      <c r="H5" s="5">
        <v>0.24</v>
      </c>
      <c r="I5" s="4"/>
      <c r="K5" s="2">
        <v>9.14</v>
      </c>
      <c r="L5" s="2">
        <v>2.31</v>
      </c>
      <c r="M5" s="2">
        <v>21</v>
      </c>
      <c r="N5" s="2">
        <f t="shared" si="0"/>
        <v>57.65</v>
      </c>
      <c r="P5" s="2">
        <v>13.77</v>
      </c>
      <c r="Q5" s="2">
        <v>2.21</v>
      </c>
      <c r="R5" s="2">
        <v>3</v>
      </c>
      <c r="S5" s="2">
        <f t="shared" si="1"/>
        <v>20.399999999999999</v>
      </c>
    </row>
    <row r="6" spans="1:19">
      <c r="A6" s="5" t="s">
        <v>49</v>
      </c>
      <c r="B6" s="5">
        <v>-19.644269999999999</v>
      </c>
      <c r="C6" s="5">
        <v>10.75854</v>
      </c>
      <c r="D6" s="5">
        <v>6.8000000000000005E-2</v>
      </c>
      <c r="E6" s="5" t="s">
        <v>49</v>
      </c>
      <c r="F6" s="5">
        <v>-18.25789</v>
      </c>
      <c r="G6" s="5">
        <v>12.017799999999999</v>
      </c>
      <c r="H6" s="5">
        <v>0.129</v>
      </c>
      <c r="I6" s="4"/>
      <c r="K6" s="2">
        <v>9.14</v>
      </c>
      <c r="L6" s="2">
        <v>2.31</v>
      </c>
      <c r="M6" s="2">
        <v>22</v>
      </c>
      <c r="N6" s="2">
        <f t="shared" si="0"/>
        <v>59.96</v>
      </c>
      <c r="P6" s="2">
        <v>13.77</v>
      </c>
      <c r="Q6" s="2">
        <v>2.21</v>
      </c>
      <c r="R6" s="2">
        <v>4</v>
      </c>
      <c r="S6" s="2">
        <f t="shared" si="1"/>
        <v>22.61</v>
      </c>
    </row>
    <row r="7" spans="1:19">
      <c r="A7" s="5" t="s">
        <v>50</v>
      </c>
      <c r="B7" s="5">
        <v>-6.4795340000000001</v>
      </c>
      <c r="C7" s="5">
        <v>10.49729</v>
      </c>
      <c r="D7" s="5">
        <v>0.53700000000000003</v>
      </c>
      <c r="E7" s="5" t="s">
        <v>50</v>
      </c>
      <c r="F7" s="5">
        <v>-10.010529999999999</v>
      </c>
      <c r="G7" s="5">
        <v>12.488759999999999</v>
      </c>
      <c r="H7" s="5">
        <v>0.42299999999999999</v>
      </c>
      <c r="I7" s="4"/>
      <c r="K7" s="2">
        <v>9.14</v>
      </c>
      <c r="L7" s="2">
        <v>2.31</v>
      </c>
      <c r="M7" s="2">
        <v>23</v>
      </c>
      <c r="N7" s="2">
        <f t="shared" si="0"/>
        <v>62.27</v>
      </c>
      <c r="P7" s="2">
        <v>13.77</v>
      </c>
      <c r="Q7" s="2">
        <v>2.21</v>
      </c>
      <c r="R7" s="2">
        <v>5</v>
      </c>
      <c r="S7" s="2">
        <f t="shared" si="1"/>
        <v>24.82</v>
      </c>
    </row>
    <row r="8" spans="1:19">
      <c r="A8" s="5" t="s">
        <v>51</v>
      </c>
      <c r="B8" s="5">
        <v>-7.157362</v>
      </c>
      <c r="C8" s="5">
        <v>10.204549999999999</v>
      </c>
      <c r="D8" s="5">
        <v>0.48299999999999998</v>
      </c>
      <c r="E8" s="5" t="s">
        <v>51</v>
      </c>
      <c r="F8" s="5">
        <v>-3.0131579999999998</v>
      </c>
      <c r="G8" s="5">
        <v>10.546250000000001</v>
      </c>
      <c r="H8" s="5">
        <v>0.77500000000000002</v>
      </c>
      <c r="I8" s="4"/>
      <c r="K8" s="2">
        <v>9.14</v>
      </c>
      <c r="L8" s="2">
        <v>2.31</v>
      </c>
      <c r="M8" s="2">
        <v>24</v>
      </c>
      <c r="N8" s="2">
        <f t="shared" si="0"/>
        <v>64.58</v>
      </c>
      <c r="P8" s="2">
        <v>13.77</v>
      </c>
      <c r="Q8" s="2">
        <v>2.21</v>
      </c>
      <c r="R8" s="2">
        <v>6</v>
      </c>
      <c r="S8" s="2">
        <f t="shared" si="1"/>
        <v>27.03</v>
      </c>
    </row>
    <row r="9" spans="1:19">
      <c r="A9" s="5" t="s">
        <v>52</v>
      </c>
      <c r="B9" s="5">
        <v>-11.644679999999999</v>
      </c>
      <c r="C9" s="5">
        <v>8.5917300000000001</v>
      </c>
      <c r="D9" s="5">
        <v>0.17499999999999999</v>
      </c>
      <c r="E9" s="5" t="s">
        <v>52</v>
      </c>
      <c r="F9" s="5">
        <v>-9.6269010000000002</v>
      </c>
      <c r="G9" s="5">
        <v>9.0755149999999993</v>
      </c>
      <c r="H9" s="5">
        <v>0.28899999999999998</v>
      </c>
      <c r="I9" s="4"/>
      <c r="K9" s="2">
        <v>9.14</v>
      </c>
      <c r="L9" s="2">
        <v>2.31</v>
      </c>
      <c r="M9" s="2">
        <v>25</v>
      </c>
      <c r="N9" s="2">
        <f t="shared" si="0"/>
        <v>66.89</v>
      </c>
      <c r="P9" s="2">
        <v>13.77</v>
      </c>
      <c r="Q9" s="2">
        <v>2.21</v>
      </c>
      <c r="R9" s="2">
        <v>7</v>
      </c>
      <c r="S9" s="2">
        <f t="shared" si="1"/>
        <v>29.24</v>
      </c>
    </row>
    <row r="10" spans="1:19">
      <c r="A10" s="5" t="s">
        <v>53</v>
      </c>
      <c r="B10" s="5">
        <v>-19.021229999999999</v>
      </c>
      <c r="C10" s="5">
        <v>8.4528929999999995</v>
      </c>
      <c r="D10" s="5">
        <v>2.4E-2</v>
      </c>
      <c r="E10" s="5" t="s">
        <v>53</v>
      </c>
      <c r="F10" s="5">
        <v>-22.668420000000001</v>
      </c>
      <c r="G10" s="5">
        <v>9.2384210000000007</v>
      </c>
      <c r="H10" s="5">
        <v>1.4E-2</v>
      </c>
      <c r="I10" s="4"/>
      <c r="K10" s="2">
        <v>9.14</v>
      </c>
      <c r="L10" s="2">
        <v>2.31</v>
      </c>
      <c r="M10" s="2">
        <v>26</v>
      </c>
      <c r="N10" s="2">
        <f t="shared" si="0"/>
        <v>69.2</v>
      </c>
      <c r="P10" s="2">
        <v>13.77</v>
      </c>
      <c r="Q10" s="2">
        <v>2.21</v>
      </c>
      <c r="R10" s="2">
        <v>8</v>
      </c>
      <c r="S10" s="2">
        <f t="shared" si="1"/>
        <v>31.45</v>
      </c>
    </row>
    <row r="11" spans="1:19">
      <c r="A11" s="5" t="s">
        <v>54</v>
      </c>
      <c r="B11" s="5">
        <v>-11.964040000000001</v>
      </c>
      <c r="C11" s="5">
        <v>7.2939129999999999</v>
      </c>
      <c r="D11" s="5">
        <v>0.10100000000000001</v>
      </c>
      <c r="E11" s="5" t="s">
        <v>54</v>
      </c>
      <c r="F11" s="5">
        <v>-12.28421</v>
      </c>
      <c r="G11" s="5">
        <v>7.5310040000000003</v>
      </c>
      <c r="H11" s="5">
        <v>0.10299999999999999</v>
      </c>
      <c r="I11" s="4"/>
      <c r="K11" s="2">
        <v>9.14</v>
      </c>
      <c r="L11" s="2">
        <v>2.31</v>
      </c>
      <c r="M11" s="2">
        <v>27</v>
      </c>
      <c r="N11" s="2">
        <f t="shared" si="0"/>
        <v>71.510000000000005</v>
      </c>
      <c r="P11" s="2">
        <v>13.77</v>
      </c>
      <c r="Q11" s="2">
        <v>2.21</v>
      </c>
      <c r="R11" s="2">
        <v>9</v>
      </c>
      <c r="S11" s="2">
        <f t="shared" si="1"/>
        <v>33.659999999999997</v>
      </c>
    </row>
    <row r="12" spans="1:19">
      <c r="A12" s="5" t="s">
        <v>55</v>
      </c>
      <c r="B12" s="5">
        <v>-13.78119</v>
      </c>
      <c r="C12" s="5">
        <v>6.6588050000000001</v>
      </c>
      <c r="D12" s="5">
        <v>3.9E-2</v>
      </c>
      <c r="E12" s="5" t="s">
        <v>55</v>
      </c>
      <c r="F12" s="5">
        <v>-14.69035</v>
      </c>
      <c r="G12" s="5">
        <v>6.8869290000000003</v>
      </c>
      <c r="H12" s="5">
        <v>3.3000000000000002E-2</v>
      </c>
      <c r="I12" s="4"/>
      <c r="K12" s="2">
        <v>9.14</v>
      </c>
      <c r="L12" s="2">
        <v>2.31</v>
      </c>
      <c r="M12" s="2">
        <v>28</v>
      </c>
      <c r="N12" s="2">
        <f t="shared" si="0"/>
        <v>73.820000000000007</v>
      </c>
      <c r="P12" s="2">
        <v>13.77</v>
      </c>
      <c r="Q12" s="2">
        <v>2.21</v>
      </c>
      <c r="R12" s="2">
        <v>10</v>
      </c>
      <c r="S12" s="2">
        <f t="shared" si="1"/>
        <v>35.870000000000005</v>
      </c>
    </row>
    <row r="13" spans="1:19">
      <c r="A13" s="5" t="s">
        <v>56</v>
      </c>
      <c r="B13" s="5">
        <v>-17.059699999999999</v>
      </c>
      <c r="C13" s="5">
        <v>6.0295620000000003</v>
      </c>
      <c r="D13" s="5">
        <v>5.0000000000000001E-3</v>
      </c>
      <c r="E13" s="5" t="s">
        <v>56</v>
      </c>
      <c r="F13" s="5">
        <v>-17.870069999999998</v>
      </c>
      <c r="G13" s="5">
        <v>6.2378910000000003</v>
      </c>
      <c r="H13" s="5">
        <v>4.0000000000000001E-3</v>
      </c>
      <c r="I13" s="4"/>
      <c r="K13" s="2">
        <v>9.14</v>
      </c>
      <c r="L13" s="2">
        <v>2.31</v>
      </c>
      <c r="M13" s="2">
        <v>29</v>
      </c>
      <c r="N13" s="2">
        <f t="shared" si="0"/>
        <v>76.13</v>
      </c>
      <c r="P13" s="2">
        <v>13.77</v>
      </c>
      <c r="Q13" s="2">
        <v>2.21</v>
      </c>
      <c r="R13" s="2">
        <v>11</v>
      </c>
      <c r="S13" s="2">
        <f t="shared" si="1"/>
        <v>38.08</v>
      </c>
    </row>
    <row r="14" spans="1:19">
      <c r="A14" s="5" t="s">
        <v>57</v>
      </c>
      <c r="B14" s="5">
        <v>-16.311170000000001</v>
      </c>
      <c r="C14" s="5">
        <v>5.4105999999999996</v>
      </c>
      <c r="D14" s="5">
        <v>3.0000000000000001E-3</v>
      </c>
      <c r="E14" s="5" t="s">
        <v>57</v>
      </c>
      <c r="F14" s="5">
        <v>-17.188040000000001</v>
      </c>
      <c r="G14" s="5">
        <v>5.5428290000000002</v>
      </c>
      <c r="H14" s="5">
        <v>2E-3</v>
      </c>
      <c r="I14" s="4"/>
      <c r="K14" s="2">
        <v>9.14</v>
      </c>
      <c r="L14" s="2">
        <v>2.31</v>
      </c>
      <c r="M14" s="2">
        <v>30</v>
      </c>
      <c r="N14" s="2">
        <f t="shared" si="0"/>
        <v>78.44</v>
      </c>
      <c r="P14" s="2">
        <v>13.77</v>
      </c>
      <c r="Q14" s="2">
        <v>2.21</v>
      </c>
      <c r="R14" s="2">
        <v>12</v>
      </c>
      <c r="S14" s="2">
        <f t="shared" si="1"/>
        <v>40.29</v>
      </c>
    </row>
    <row r="15" spans="1:19">
      <c r="A15" s="5" t="s">
        <v>58</v>
      </c>
      <c r="B15" s="5">
        <v>-14.32734</v>
      </c>
      <c r="C15" s="5">
        <v>4.7277579999999997</v>
      </c>
      <c r="D15" s="5">
        <v>2E-3</v>
      </c>
      <c r="E15" s="5" t="s">
        <v>58</v>
      </c>
      <c r="F15" s="5">
        <v>-14.812620000000001</v>
      </c>
      <c r="G15" s="5">
        <v>4.7787819999999996</v>
      </c>
      <c r="H15" s="5">
        <v>2E-3</v>
      </c>
      <c r="I15" s="4"/>
      <c r="K15" s="2">
        <v>9.14</v>
      </c>
      <c r="L15" s="2">
        <v>2.31</v>
      </c>
      <c r="M15" s="2">
        <v>31</v>
      </c>
      <c r="N15" s="2">
        <f t="shared" si="0"/>
        <v>80.75</v>
      </c>
      <c r="P15" s="2">
        <v>13.77</v>
      </c>
      <c r="Q15" s="2">
        <v>2.21</v>
      </c>
      <c r="R15" s="2">
        <v>13</v>
      </c>
      <c r="S15" s="2">
        <f t="shared" si="1"/>
        <v>42.5</v>
      </c>
    </row>
    <row r="16" spans="1:19">
      <c r="A16" s="5" t="s">
        <v>59</v>
      </c>
      <c r="B16" s="5">
        <v>-12.96823</v>
      </c>
      <c r="C16" s="5">
        <v>4.2054320000000001</v>
      </c>
      <c r="D16" s="5">
        <v>2E-3</v>
      </c>
      <c r="E16" s="5" t="s">
        <v>59</v>
      </c>
      <c r="F16" s="5">
        <v>-13.3346</v>
      </c>
      <c r="G16" s="5">
        <v>4.3095730000000003</v>
      </c>
      <c r="H16" s="5">
        <v>2E-3</v>
      </c>
      <c r="I16" s="4"/>
      <c r="K16" s="2">
        <v>9.14</v>
      </c>
      <c r="L16" s="2">
        <v>2.31</v>
      </c>
      <c r="M16" s="2">
        <v>32</v>
      </c>
      <c r="N16" s="2">
        <f t="shared" si="0"/>
        <v>83.06</v>
      </c>
      <c r="P16" s="2">
        <v>13.77</v>
      </c>
      <c r="Q16" s="2">
        <v>2.21</v>
      </c>
      <c r="R16" s="2">
        <v>14</v>
      </c>
      <c r="S16" s="2">
        <f t="shared" si="1"/>
        <v>44.709999999999994</v>
      </c>
    </row>
    <row r="17" spans="1:19">
      <c r="A17" s="5" t="s">
        <v>60</v>
      </c>
      <c r="B17" s="5">
        <v>-11.200900000000001</v>
      </c>
      <c r="C17" s="5">
        <v>3.6115889999999999</v>
      </c>
      <c r="D17" s="5">
        <v>2E-3</v>
      </c>
      <c r="E17" s="5" t="s">
        <v>60</v>
      </c>
      <c r="F17" s="5">
        <v>-11.60059</v>
      </c>
      <c r="G17" s="5">
        <v>3.7059660000000001</v>
      </c>
      <c r="H17" s="5">
        <v>2E-3</v>
      </c>
      <c r="I17" s="4"/>
      <c r="K17" s="2">
        <v>9.14</v>
      </c>
      <c r="L17" s="2">
        <v>2.31</v>
      </c>
      <c r="M17" s="2">
        <v>33</v>
      </c>
      <c r="N17" s="2">
        <f t="shared" si="0"/>
        <v>85.37</v>
      </c>
      <c r="P17" s="2">
        <v>13.77</v>
      </c>
      <c r="Q17" s="2">
        <v>2.21</v>
      </c>
      <c r="R17" s="2">
        <v>15</v>
      </c>
      <c r="S17" s="2">
        <f t="shared" si="1"/>
        <v>46.92</v>
      </c>
    </row>
    <row r="18" spans="1:19">
      <c r="A18" s="5" t="s">
        <v>61</v>
      </c>
      <c r="B18" s="5">
        <v>-11.40264</v>
      </c>
      <c r="C18" s="5">
        <v>3.1393680000000002</v>
      </c>
      <c r="D18" s="5">
        <v>0</v>
      </c>
      <c r="E18" s="5" t="s">
        <v>61</v>
      </c>
      <c r="F18" s="5">
        <v>-10.265940000000001</v>
      </c>
      <c r="G18" s="5">
        <v>3.3418519999999998</v>
      </c>
      <c r="H18" s="5">
        <v>2E-3</v>
      </c>
      <c r="I18" s="4"/>
      <c r="K18" s="2">
        <v>9.14</v>
      </c>
      <c r="L18" s="2">
        <v>2.31</v>
      </c>
      <c r="M18" s="2">
        <v>34</v>
      </c>
      <c r="N18" s="2">
        <f t="shared" si="0"/>
        <v>87.68</v>
      </c>
      <c r="P18" s="2">
        <v>13.77</v>
      </c>
      <c r="Q18" s="2">
        <v>2.21</v>
      </c>
      <c r="R18" s="2">
        <v>16</v>
      </c>
      <c r="S18" s="2">
        <f t="shared" si="1"/>
        <v>49.129999999999995</v>
      </c>
    </row>
    <row r="19" spans="1:19">
      <c r="A19" s="5" t="s">
        <v>62</v>
      </c>
      <c r="B19" s="5">
        <v>-5.385548</v>
      </c>
      <c r="C19" s="5">
        <v>2.5059710000000002</v>
      </c>
      <c r="D19" s="5">
        <v>3.2000000000000001E-2</v>
      </c>
      <c r="E19" s="5" t="s">
        <v>62</v>
      </c>
      <c r="F19" s="5">
        <v>-5.0173120000000004</v>
      </c>
      <c r="G19" s="5">
        <v>2.645448</v>
      </c>
      <c r="H19" s="5">
        <v>5.8000000000000003E-2</v>
      </c>
      <c r="I19" s="4"/>
      <c r="K19" s="2">
        <v>9.14</v>
      </c>
      <c r="L19" s="2">
        <v>2.31</v>
      </c>
      <c r="M19" s="2">
        <v>35</v>
      </c>
      <c r="N19" s="2">
        <f t="shared" si="0"/>
        <v>89.990000000000009</v>
      </c>
      <c r="P19" s="2">
        <v>13.77</v>
      </c>
      <c r="Q19" s="2">
        <v>2.21</v>
      </c>
      <c r="R19" s="2">
        <v>17</v>
      </c>
      <c r="S19" s="2">
        <f t="shared" si="1"/>
        <v>51.34</v>
      </c>
    </row>
    <row r="20" spans="1:19">
      <c r="A20" s="5" t="s">
        <v>63</v>
      </c>
      <c r="B20" s="5">
        <v>-3.1872129999999999</v>
      </c>
      <c r="C20" s="5">
        <v>2.152876</v>
      </c>
      <c r="D20" s="5">
        <v>0.13900000000000001</v>
      </c>
      <c r="E20" s="5" t="s">
        <v>63</v>
      </c>
      <c r="F20" s="5">
        <v>-4.0584730000000002</v>
      </c>
      <c r="G20" s="5">
        <v>2.424814</v>
      </c>
      <c r="H20" s="5">
        <v>9.4E-2</v>
      </c>
      <c r="I20" s="4"/>
      <c r="K20" s="2">
        <v>9.14</v>
      </c>
      <c r="L20" s="2">
        <v>2.31</v>
      </c>
      <c r="M20" s="2">
        <v>36</v>
      </c>
      <c r="N20" s="2">
        <f t="shared" si="0"/>
        <v>92.3</v>
      </c>
      <c r="P20" s="2">
        <v>13.77</v>
      </c>
      <c r="Q20" s="2">
        <v>2.21</v>
      </c>
      <c r="R20" s="2">
        <v>18</v>
      </c>
      <c r="S20" s="2">
        <f t="shared" si="1"/>
        <v>53.55</v>
      </c>
    </row>
    <row r="21" spans="1:19">
      <c r="A21" s="5" t="s">
        <v>64</v>
      </c>
      <c r="B21" s="5">
        <v>-1.3248329999999999</v>
      </c>
      <c r="C21" s="5">
        <v>1.6790210000000001</v>
      </c>
      <c r="D21" s="5">
        <v>0.43</v>
      </c>
      <c r="E21" s="5" t="s">
        <v>64</v>
      </c>
      <c r="F21" s="5">
        <v>-1.102924</v>
      </c>
      <c r="G21" s="5">
        <v>1.9984550000000001</v>
      </c>
      <c r="H21" s="5">
        <v>0.58099999999999996</v>
      </c>
      <c r="I21" s="4"/>
      <c r="K21" s="2">
        <v>9.14</v>
      </c>
      <c r="L21" s="2">
        <v>2.31</v>
      </c>
      <c r="M21" s="2">
        <v>37</v>
      </c>
      <c r="N21" s="2">
        <f t="shared" si="0"/>
        <v>94.61</v>
      </c>
      <c r="P21" s="2">
        <v>13.77</v>
      </c>
      <c r="Q21" s="2">
        <v>2.21</v>
      </c>
      <c r="R21" s="2">
        <v>19</v>
      </c>
      <c r="S21" s="2">
        <f t="shared" si="1"/>
        <v>55.760000000000005</v>
      </c>
    </row>
    <row r="22" spans="1:19">
      <c r="A22" s="5" t="s">
        <v>65</v>
      </c>
      <c r="B22" s="5">
        <v>-2.7466059999999999</v>
      </c>
      <c r="C22" s="5">
        <v>1.7200549999999999</v>
      </c>
      <c r="D22" s="5">
        <v>0.11</v>
      </c>
      <c r="E22" s="5" t="s">
        <v>65</v>
      </c>
      <c r="F22" s="5">
        <v>-3.4904760000000001</v>
      </c>
      <c r="G22" s="5">
        <v>2.285126</v>
      </c>
      <c r="H22" s="5">
        <v>0.127</v>
      </c>
      <c r="I22" s="4"/>
      <c r="K22" s="2">
        <v>9.14</v>
      </c>
      <c r="L22" s="2">
        <v>2.31</v>
      </c>
      <c r="M22" s="2">
        <v>38</v>
      </c>
      <c r="N22" s="2">
        <f t="shared" si="0"/>
        <v>96.92</v>
      </c>
      <c r="P22" s="2">
        <v>13.77</v>
      </c>
      <c r="Q22" s="2">
        <v>2.21</v>
      </c>
      <c r="R22" s="2">
        <v>20</v>
      </c>
      <c r="S22" s="2">
        <f t="shared" si="1"/>
        <v>57.97</v>
      </c>
    </row>
    <row r="23" spans="1:19">
      <c r="A23" s="5" t="s">
        <v>66</v>
      </c>
      <c r="B23" s="5"/>
      <c r="C23" s="5"/>
      <c r="D23" s="5"/>
      <c r="E23" s="5" t="s">
        <v>66</v>
      </c>
      <c r="F23" s="5"/>
      <c r="G23" s="5"/>
      <c r="H23" s="5"/>
      <c r="I23" s="4"/>
      <c r="K23" s="2">
        <v>9.14</v>
      </c>
      <c r="L23" s="2">
        <v>2.31</v>
      </c>
      <c r="M23" s="2">
        <v>39</v>
      </c>
      <c r="N23" s="2">
        <f t="shared" si="0"/>
        <v>99.23</v>
      </c>
    </row>
    <row r="24" spans="1:19">
      <c r="A24" s="5" t="s">
        <v>44</v>
      </c>
      <c r="B24" s="5">
        <v>0.27692919999999999</v>
      </c>
      <c r="C24" s="5">
        <v>0.40817439999999999</v>
      </c>
      <c r="D24" s="5">
        <v>0.498</v>
      </c>
      <c r="E24" s="5" t="s">
        <v>44</v>
      </c>
      <c r="F24" s="5">
        <v>1</v>
      </c>
      <c r="G24" s="5">
        <v>16.537949999999999</v>
      </c>
      <c r="H24" s="5">
        <v>0.95199999999999996</v>
      </c>
      <c r="I24" s="4"/>
      <c r="K24" s="2">
        <v>9.14</v>
      </c>
      <c r="L24" s="2">
        <v>2.31</v>
      </c>
      <c r="M24" s="2">
        <v>40</v>
      </c>
      <c r="N24" s="2">
        <f t="shared" si="0"/>
        <v>101.54</v>
      </c>
    </row>
    <row r="25" spans="1:19">
      <c r="A25" s="5" t="s">
        <v>45</v>
      </c>
      <c r="B25" s="5"/>
      <c r="C25" s="5"/>
      <c r="D25" s="5"/>
      <c r="E25" s="5" t="s">
        <v>67</v>
      </c>
      <c r="F25" s="5"/>
      <c r="G25" s="5"/>
      <c r="H25" s="5"/>
      <c r="I25" s="4"/>
      <c r="K25" s="2">
        <v>9.14</v>
      </c>
      <c r="L25" s="2">
        <v>2.31</v>
      </c>
      <c r="M25" s="2">
        <v>41</v>
      </c>
      <c r="N25" s="2">
        <f t="shared" si="0"/>
        <v>103.85000000000001</v>
      </c>
    </row>
    <row r="26" spans="1:19">
      <c r="A26" s="5" t="s">
        <v>46</v>
      </c>
      <c r="B26" s="5">
        <v>44</v>
      </c>
      <c r="C26" s="5">
        <v>11.682779999999999</v>
      </c>
      <c r="D26" s="5">
        <v>0</v>
      </c>
      <c r="E26" s="5" t="s">
        <v>68</v>
      </c>
      <c r="F26" s="5"/>
      <c r="G26" s="5"/>
      <c r="H26" s="5"/>
      <c r="I26" s="4"/>
      <c r="K26" s="2">
        <v>9.14</v>
      </c>
      <c r="L26" s="2">
        <v>2.31</v>
      </c>
      <c r="M26" s="2">
        <v>42</v>
      </c>
      <c r="N26" s="2">
        <f t="shared" si="0"/>
        <v>106.16</v>
      </c>
    </row>
    <row r="27" spans="1:19">
      <c r="A27" s="5"/>
      <c r="B27" s="5"/>
      <c r="C27" s="5"/>
      <c r="D27" s="5"/>
      <c r="E27" s="5" t="s">
        <v>69</v>
      </c>
      <c r="F27" s="5">
        <v>-3</v>
      </c>
      <c r="G27" s="5">
        <v>18.612839999999998</v>
      </c>
      <c r="H27" s="5">
        <v>0.872</v>
      </c>
      <c r="I27" s="4"/>
      <c r="K27" s="2">
        <v>9.14</v>
      </c>
      <c r="L27" s="2">
        <v>2.31</v>
      </c>
      <c r="M27" s="2">
        <v>43</v>
      </c>
      <c r="N27" s="2">
        <f t="shared" si="0"/>
        <v>108.47</v>
      </c>
    </row>
    <row r="28" spans="1:19">
      <c r="A28" s="5"/>
      <c r="B28" s="5"/>
      <c r="C28" s="5"/>
      <c r="D28" s="5"/>
      <c r="E28" s="5" t="s">
        <v>70</v>
      </c>
      <c r="F28" s="5">
        <v>4.5</v>
      </c>
      <c r="G28" s="5">
        <v>19.39246</v>
      </c>
      <c r="H28" s="5">
        <v>0.81699999999999995</v>
      </c>
      <c r="I28" s="4"/>
      <c r="K28" s="2">
        <v>9.14</v>
      </c>
      <c r="L28" s="2">
        <v>2.31</v>
      </c>
      <c r="M28" s="2">
        <v>44</v>
      </c>
      <c r="N28" s="2">
        <f t="shared" si="0"/>
        <v>110.78</v>
      </c>
    </row>
    <row r="29" spans="1:19">
      <c r="A29" s="5"/>
      <c r="B29" s="5"/>
      <c r="C29" s="5"/>
      <c r="D29" s="5"/>
      <c r="E29" s="5" t="s">
        <v>71</v>
      </c>
      <c r="F29" s="5">
        <v>-21.75</v>
      </c>
      <c r="G29" s="5">
        <v>21.08183</v>
      </c>
      <c r="H29" s="5">
        <v>0.30199999999999999</v>
      </c>
      <c r="I29" s="4"/>
      <c r="K29" s="2">
        <v>9.14</v>
      </c>
      <c r="L29" s="2">
        <v>2.31</v>
      </c>
      <c r="M29" s="2">
        <v>45</v>
      </c>
      <c r="N29" s="2">
        <f t="shared" si="0"/>
        <v>113.09</v>
      </c>
    </row>
    <row r="30" spans="1:19">
      <c r="A30" s="5"/>
      <c r="B30" s="5"/>
      <c r="C30" s="5"/>
      <c r="D30" s="5"/>
      <c r="E30" s="5" t="s">
        <v>72</v>
      </c>
      <c r="F30" s="5">
        <v>-4.5252530000000002</v>
      </c>
      <c r="G30" s="5">
        <v>17.353110000000001</v>
      </c>
      <c r="H30" s="5">
        <v>0.79400000000000004</v>
      </c>
      <c r="I30" s="4"/>
      <c r="K30" s="2">
        <v>9.14</v>
      </c>
      <c r="L30" s="2">
        <v>2.31</v>
      </c>
      <c r="M30" s="2">
        <v>46</v>
      </c>
      <c r="N30" s="2">
        <f t="shared" si="0"/>
        <v>115.4</v>
      </c>
    </row>
    <row r="31" spans="1:19">
      <c r="A31" s="5"/>
      <c r="B31" s="5"/>
      <c r="C31" s="5"/>
      <c r="D31" s="5"/>
      <c r="E31" s="5" t="s">
        <v>73</v>
      </c>
      <c r="F31" s="5">
        <v>6.4</v>
      </c>
      <c r="G31" s="5">
        <v>18.116409999999998</v>
      </c>
      <c r="H31" s="5">
        <v>0.72399999999999998</v>
      </c>
      <c r="I31" s="4"/>
      <c r="K31" s="2">
        <v>9.14</v>
      </c>
      <c r="L31" s="2">
        <v>2.31</v>
      </c>
      <c r="M31" s="2">
        <v>47</v>
      </c>
      <c r="N31" s="2">
        <f t="shared" si="0"/>
        <v>117.71000000000001</v>
      </c>
    </row>
    <row r="32" spans="1:19">
      <c r="A32" s="5"/>
      <c r="B32" s="5"/>
      <c r="C32" s="5"/>
      <c r="D32" s="5"/>
      <c r="E32" s="5" t="s">
        <v>74</v>
      </c>
      <c r="F32" s="5">
        <v>-0.2368421</v>
      </c>
      <c r="G32" s="5">
        <v>17.007300000000001</v>
      </c>
      <c r="H32" s="5">
        <v>0.98899999999999999</v>
      </c>
      <c r="I32" s="4"/>
      <c r="K32" s="2">
        <v>9.14</v>
      </c>
      <c r="L32" s="2">
        <v>2.31</v>
      </c>
      <c r="M32" s="2">
        <v>48</v>
      </c>
      <c r="N32" s="2">
        <f t="shared" si="0"/>
        <v>120.02</v>
      </c>
    </row>
    <row r="33" spans="1:14">
      <c r="A33" s="5"/>
      <c r="B33" s="5"/>
      <c r="C33" s="5"/>
      <c r="D33" s="5"/>
      <c r="E33" s="5" t="s">
        <v>75</v>
      </c>
      <c r="F33" s="5">
        <v>0.875</v>
      </c>
      <c r="G33" s="5">
        <v>16.878969999999999</v>
      </c>
      <c r="H33" s="5">
        <v>0.95899999999999996</v>
      </c>
      <c r="I33" s="4"/>
      <c r="K33" s="2">
        <v>9.14</v>
      </c>
      <c r="L33" s="2">
        <v>2.31</v>
      </c>
      <c r="M33" s="2">
        <v>49</v>
      </c>
      <c r="N33" s="2">
        <f t="shared" si="0"/>
        <v>122.33</v>
      </c>
    </row>
    <row r="34" spans="1:14">
      <c r="A34" s="5"/>
      <c r="B34" s="5"/>
      <c r="C34" s="5"/>
      <c r="D34" s="5"/>
      <c r="E34" s="5" t="s">
        <v>76</v>
      </c>
      <c r="F34" s="5">
        <v>0.55996619999999997</v>
      </c>
      <c r="G34" s="5">
        <v>16.777159999999999</v>
      </c>
      <c r="H34" s="5">
        <v>0.97299999999999998</v>
      </c>
      <c r="I34" s="4"/>
      <c r="K34" s="2">
        <v>9.14</v>
      </c>
      <c r="L34" s="2">
        <v>2.31</v>
      </c>
      <c r="M34" s="2">
        <v>50</v>
      </c>
      <c r="N34" s="2">
        <f t="shared" si="0"/>
        <v>124.64</v>
      </c>
    </row>
    <row r="35" spans="1:14">
      <c r="A35" s="5"/>
      <c r="B35" s="5"/>
      <c r="C35" s="5"/>
      <c r="D35" s="5"/>
      <c r="E35" s="5" t="s">
        <v>77</v>
      </c>
      <c r="F35" s="5">
        <v>0.88781429999999995</v>
      </c>
      <c r="G35" s="5">
        <v>16.700289999999999</v>
      </c>
      <c r="H35" s="5">
        <v>0.95799999999999996</v>
      </c>
      <c r="I35" s="4"/>
      <c r="K35" s="2">
        <v>9.14</v>
      </c>
      <c r="L35" s="2">
        <v>2.31</v>
      </c>
      <c r="M35" s="2">
        <v>51</v>
      </c>
      <c r="N35" s="2">
        <f t="shared" si="0"/>
        <v>126.95</v>
      </c>
    </row>
    <row r="36" spans="1:14">
      <c r="A36" s="5"/>
      <c r="B36" s="5"/>
      <c r="C36" s="5"/>
      <c r="D36" s="5"/>
      <c r="E36" s="5" t="s">
        <v>78</v>
      </c>
      <c r="F36" s="5">
        <v>-1.35161E-2</v>
      </c>
      <c r="G36" s="5">
        <v>16.557500000000001</v>
      </c>
      <c r="H36" s="5">
        <v>0.999</v>
      </c>
      <c r="I36" s="4"/>
      <c r="K36" s="2">
        <v>9.14</v>
      </c>
      <c r="L36" s="2">
        <v>2.31</v>
      </c>
      <c r="M36" s="2">
        <v>52</v>
      </c>
      <c r="N36" s="2">
        <f t="shared" si="0"/>
        <v>129.26</v>
      </c>
    </row>
    <row r="37" spans="1:14">
      <c r="A37" s="5"/>
      <c r="B37" s="5"/>
      <c r="C37" s="5"/>
      <c r="D37" s="5"/>
      <c r="E37" s="5" t="s">
        <v>79</v>
      </c>
      <c r="F37" s="5">
        <v>-0.28721920000000001</v>
      </c>
      <c r="G37" s="5">
        <v>16.6052</v>
      </c>
      <c r="H37" s="5">
        <v>0.98599999999999999</v>
      </c>
      <c r="I37" s="4"/>
      <c r="K37" s="2">
        <v>9.14</v>
      </c>
      <c r="L37" s="2">
        <v>2.31</v>
      </c>
      <c r="M37" s="2">
        <v>53</v>
      </c>
      <c r="N37" s="2">
        <f t="shared" si="0"/>
        <v>131.57</v>
      </c>
    </row>
    <row r="38" spans="1:14">
      <c r="A38" s="5"/>
      <c r="B38" s="5"/>
      <c r="C38" s="5"/>
      <c r="D38" s="5"/>
      <c r="E38" s="5" t="s">
        <v>80</v>
      </c>
      <c r="F38" s="5">
        <v>-0.2432725</v>
      </c>
      <c r="G38" s="5">
        <v>16.572510000000001</v>
      </c>
      <c r="H38" s="5">
        <v>0.98799999999999999</v>
      </c>
      <c r="I38" s="4"/>
      <c r="K38" s="2">
        <v>9.14</v>
      </c>
      <c r="L38" s="2">
        <v>2.31</v>
      </c>
      <c r="M38" s="2">
        <v>54</v>
      </c>
      <c r="N38" s="2">
        <f t="shared" si="0"/>
        <v>133.88</v>
      </c>
    </row>
    <row r="39" spans="1:14">
      <c r="A39" s="5"/>
      <c r="B39" s="5"/>
      <c r="C39" s="5"/>
      <c r="D39" s="5"/>
      <c r="E39" s="5" t="s">
        <v>81</v>
      </c>
      <c r="F39" s="5">
        <v>-3.2901959999999999</v>
      </c>
      <c r="G39" s="5">
        <v>16.632259999999999</v>
      </c>
      <c r="H39" s="5">
        <v>0.84299999999999997</v>
      </c>
      <c r="I39" s="4"/>
      <c r="K39" s="2">
        <v>9.14</v>
      </c>
      <c r="L39" s="2">
        <v>2.31</v>
      </c>
      <c r="M39" s="2">
        <v>55</v>
      </c>
      <c r="N39" s="2">
        <f t="shared" si="0"/>
        <v>136.19</v>
      </c>
    </row>
    <row r="40" spans="1:14">
      <c r="A40" s="5"/>
      <c r="B40" s="5"/>
      <c r="C40" s="5"/>
      <c r="D40" s="5"/>
      <c r="E40" s="5" t="s">
        <v>82</v>
      </c>
      <c r="F40" s="5">
        <v>-1.9561660000000001</v>
      </c>
      <c r="G40" s="5">
        <v>16.562830000000002</v>
      </c>
      <c r="H40" s="5">
        <v>0.90600000000000003</v>
      </c>
      <c r="I40" s="4"/>
      <c r="K40" s="2">
        <v>9.14</v>
      </c>
      <c r="L40" s="2">
        <v>2.31</v>
      </c>
      <c r="M40" s="2">
        <v>56</v>
      </c>
      <c r="N40" s="2">
        <f t="shared" si="0"/>
        <v>138.5</v>
      </c>
    </row>
    <row r="41" spans="1:14">
      <c r="A41" s="5"/>
      <c r="B41" s="5"/>
      <c r="C41" s="5"/>
      <c r="D41" s="5"/>
      <c r="E41" s="5" t="s">
        <v>83</v>
      </c>
      <c r="F41" s="5">
        <v>0.8546454</v>
      </c>
      <c r="G41" s="5">
        <v>16.645669999999999</v>
      </c>
      <c r="H41" s="5">
        <v>0.95899999999999996</v>
      </c>
      <c r="I41" s="4"/>
      <c r="K41" s="2">
        <v>9.14</v>
      </c>
      <c r="L41" s="2">
        <v>2.31</v>
      </c>
      <c r="M41" s="2">
        <v>57</v>
      </c>
      <c r="N41" s="2">
        <f t="shared" si="0"/>
        <v>140.81</v>
      </c>
    </row>
    <row r="42" spans="1:14">
      <c r="A42" s="5"/>
      <c r="B42" s="5"/>
      <c r="C42" s="5"/>
      <c r="D42" s="5"/>
      <c r="E42" s="5" t="s">
        <v>84</v>
      </c>
      <c r="F42" s="5">
        <v>-1.7738560000000001</v>
      </c>
      <c r="G42" s="5">
        <v>16.62171</v>
      </c>
      <c r="H42" s="5">
        <v>0.91500000000000004</v>
      </c>
      <c r="I42" s="4"/>
      <c r="K42" s="2">
        <v>9.14</v>
      </c>
      <c r="L42" s="2">
        <v>2.31</v>
      </c>
      <c r="M42" s="2">
        <v>58</v>
      </c>
      <c r="N42" s="2">
        <f t="shared" si="0"/>
        <v>143.12</v>
      </c>
    </row>
    <row r="43" spans="1:14">
      <c r="A43" s="5"/>
      <c r="B43" s="5"/>
      <c r="C43" s="5"/>
      <c r="D43" s="5"/>
      <c r="E43" s="5" t="s">
        <v>85</v>
      </c>
      <c r="F43" s="5">
        <v>0.3849206</v>
      </c>
      <c r="G43" s="5">
        <v>16.749870000000001</v>
      </c>
      <c r="H43" s="5">
        <v>0.98199999999999998</v>
      </c>
      <c r="I43" s="4"/>
      <c r="K43" s="2">
        <v>9.14</v>
      </c>
      <c r="L43" s="2">
        <v>2.31</v>
      </c>
      <c r="M43" s="2">
        <v>59</v>
      </c>
      <c r="N43" s="2">
        <f t="shared" si="0"/>
        <v>145.43</v>
      </c>
    </row>
    <row r="44" spans="1:14">
      <c r="A44" s="5"/>
      <c r="B44" s="5"/>
      <c r="C44" s="5"/>
      <c r="D44" s="5"/>
      <c r="E44" s="5" t="s">
        <v>86</v>
      </c>
      <c r="F44" s="5">
        <v>-1.249601</v>
      </c>
      <c r="G44" s="5">
        <v>16.654579999999999</v>
      </c>
      <c r="H44" s="5">
        <v>0.94</v>
      </c>
      <c r="I44" s="4"/>
      <c r="K44" s="2">
        <v>9.14</v>
      </c>
      <c r="L44" s="2">
        <v>2.31</v>
      </c>
      <c r="M44" s="2">
        <v>60</v>
      </c>
      <c r="N44" s="2">
        <f t="shared" si="0"/>
        <v>147.74</v>
      </c>
    </row>
    <row r="45" spans="1:14">
      <c r="A45" s="5"/>
      <c r="B45" s="5"/>
      <c r="C45" s="5"/>
      <c r="D45" s="5"/>
      <c r="E45" s="5" t="s">
        <v>46</v>
      </c>
      <c r="F45" s="5">
        <v>44</v>
      </c>
      <c r="G45" s="5">
        <v>11.694089999999999</v>
      </c>
      <c r="H45" s="5">
        <v>0</v>
      </c>
      <c r="I45" s="4"/>
      <c r="K45" s="2">
        <v>9.14</v>
      </c>
      <c r="L45" s="2">
        <v>2.31</v>
      </c>
      <c r="M45" s="2">
        <v>61</v>
      </c>
      <c r="N45" s="2">
        <f t="shared" si="0"/>
        <v>150.05000000000001</v>
      </c>
    </row>
    <row r="46" spans="1:14">
      <c r="A46" s="4"/>
      <c r="B46" s="4"/>
      <c r="C46" s="4"/>
      <c r="D46" s="4"/>
      <c r="E46" s="4"/>
      <c r="F46" s="4"/>
      <c r="G46" s="4"/>
      <c r="H46" s="4"/>
      <c r="I46" s="4"/>
      <c r="K46" s="2">
        <v>9.14</v>
      </c>
      <c r="L46" s="2">
        <v>2.31</v>
      </c>
      <c r="M46" s="2">
        <v>62</v>
      </c>
      <c r="N46" s="2">
        <f t="shared" si="0"/>
        <v>152.36000000000001</v>
      </c>
    </row>
    <row r="47" spans="1:14">
      <c r="A47" s="4"/>
      <c r="B47" s="4"/>
      <c r="C47" s="4"/>
      <c r="D47" s="4"/>
      <c r="F47" s="4"/>
      <c r="G47" s="4"/>
      <c r="H47" s="4"/>
      <c r="I47" s="4"/>
      <c r="K47" s="2">
        <v>9.14</v>
      </c>
      <c r="L47" s="2">
        <v>2.31</v>
      </c>
      <c r="M47" s="2">
        <v>63</v>
      </c>
      <c r="N47" s="2">
        <f t="shared" si="0"/>
        <v>154.67000000000002</v>
      </c>
    </row>
    <row r="48" spans="1:14">
      <c r="A48" s="4"/>
      <c r="B48" s="4"/>
      <c r="C48" s="4"/>
      <c r="D48" s="4"/>
      <c r="F48" s="4"/>
      <c r="G48" s="4"/>
      <c r="H48" s="4"/>
      <c r="I48" s="4"/>
      <c r="K48" s="2">
        <v>9.14</v>
      </c>
      <c r="L48" s="2">
        <v>2.31</v>
      </c>
      <c r="M48" s="2">
        <v>64</v>
      </c>
      <c r="N48" s="2">
        <f t="shared" si="0"/>
        <v>156.98000000000002</v>
      </c>
    </row>
    <row r="49" spans="1:14">
      <c r="A49" s="4"/>
      <c r="B49" s="4"/>
      <c r="C49" s="4"/>
      <c r="D49" s="4"/>
      <c r="F49" s="4"/>
      <c r="G49" s="4"/>
      <c r="H49" s="4"/>
      <c r="I49" s="4"/>
      <c r="K49" s="2">
        <v>9.14</v>
      </c>
      <c r="L49" s="2">
        <v>2.31</v>
      </c>
      <c r="M49" s="2">
        <v>65</v>
      </c>
      <c r="N49" s="2">
        <f t="shared" si="0"/>
        <v>159.29000000000002</v>
      </c>
    </row>
    <row r="50" spans="1:14">
      <c r="F50" s="4"/>
      <c r="G50" s="4"/>
      <c r="H50" s="4"/>
      <c r="I50" s="4"/>
      <c r="K50" s="2">
        <v>9.14</v>
      </c>
      <c r="L50" s="2">
        <v>2.31</v>
      </c>
      <c r="M50" s="2">
        <v>66</v>
      </c>
      <c r="N50" s="2">
        <f t="shared" si="0"/>
        <v>161.60000000000002</v>
      </c>
    </row>
    <row r="51" spans="1:14">
      <c r="F51" s="4"/>
      <c r="G51" s="4"/>
      <c r="H51" s="4"/>
      <c r="I51" s="4"/>
      <c r="K51" s="2">
        <v>9.14</v>
      </c>
      <c r="L51" s="2">
        <v>2.31</v>
      </c>
      <c r="M51" s="2">
        <v>67</v>
      </c>
      <c r="N51" s="2">
        <f t="shared" si="0"/>
        <v>163.91000000000003</v>
      </c>
    </row>
    <row r="52" spans="1:14">
      <c r="F52" s="4"/>
      <c r="G52" s="4"/>
      <c r="H52" s="4"/>
      <c r="I52" s="4"/>
      <c r="K52" s="2">
        <v>9.14</v>
      </c>
      <c r="L52" s="2">
        <v>2.31</v>
      </c>
      <c r="M52" s="2">
        <v>68</v>
      </c>
      <c r="N52" s="2">
        <f t="shared" si="0"/>
        <v>166.22000000000003</v>
      </c>
    </row>
    <row r="53" spans="1:14">
      <c r="F53" s="4"/>
      <c r="G53" s="4"/>
      <c r="H53" s="4"/>
      <c r="I53" s="4"/>
      <c r="K53" s="2">
        <v>9.14</v>
      </c>
      <c r="L53" s="2">
        <v>2.31</v>
      </c>
      <c r="M53" s="2">
        <v>69</v>
      </c>
      <c r="N53" s="2">
        <f t="shared" si="0"/>
        <v>168.53000000000003</v>
      </c>
    </row>
    <row r="54" spans="1:14">
      <c r="F54" s="4"/>
      <c r="G54" s="4"/>
      <c r="H54" s="4"/>
      <c r="I54" s="4"/>
      <c r="K54" s="2">
        <v>9.14</v>
      </c>
      <c r="L54" s="2">
        <v>2.31</v>
      </c>
      <c r="M54" s="2">
        <v>70</v>
      </c>
      <c r="N54" s="2">
        <f t="shared" si="0"/>
        <v>170.84000000000003</v>
      </c>
    </row>
    <row r="55" spans="1:14">
      <c r="F55" s="4"/>
      <c r="G55" s="4"/>
      <c r="H55" s="4"/>
      <c r="I55" s="4"/>
      <c r="K55" s="2">
        <v>9.14</v>
      </c>
      <c r="L55" s="2">
        <v>2.31</v>
      </c>
      <c r="M55" s="2">
        <v>71</v>
      </c>
      <c r="N55" s="2">
        <f t="shared" si="0"/>
        <v>173.14999999999998</v>
      </c>
    </row>
    <row r="56" spans="1:14">
      <c r="F56" s="4"/>
      <c r="G56" s="4"/>
      <c r="H56" s="4"/>
      <c r="I56" s="4"/>
      <c r="K56" s="2">
        <v>9.14</v>
      </c>
      <c r="L56" s="2">
        <v>2.31</v>
      </c>
      <c r="M56" s="2">
        <v>72</v>
      </c>
      <c r="N56" s="2">
        <f t="shared" si="0"/>
        <v>175.45999999999998</v>
      </c>
    </row>
    <row r="57" spans="1:14">
      <c r="F57" s="4"/>
      <c r="G57" s="4"/>
      <c r="H57" s="4"/>
      <c r="I57" s="4"/>
      <c r="K57" s="2">
        <v>9.14</v>
      </c>
      <c r="L57" s="2">
        <v>2.31</v>
      </c>
      <c r="M57" s="2">
        <v>73</v>
      </c>
      <c r="N57" s="2">
        <f t="shared" si="0"/>
        <v>177.76999999999998</v>
      </c>
    </row>
    <row r="58" spans="1:14">
      <c r="F58" s="4"/>
      <c r="G58" s="4"/>
      <c r="H58" s="4"/>
      <c r="I58" s="4"/>
      <c r="K58" s="2">
        <v>9.14</v>
      </c>
      <c r="L58" s="2">
        <v>2.31</v>
      </c>
      <c r="M58" s="2">
        <v>74</v>
      </c>
      <c r="N58" s="2">
        <f t="shared" si="0"/>
        <v>180.07999999999998</v>
      </c>
    </row>
    <row r="59" spans="1:14">
      <c r="F59" s="4"/>
      <c r="G59" s="4"/>
      <c r="H59" s="4"/>
      <c r="I59" s="4"/>
      <c r="K59" s="2">
        <v>9.14</v>
      </c>
      <c r="L59" s="2">
        <v>2.31</v>
      </c>
      <c r="M59" s="2">
        <v>75</v>
      </c>
      <c r="N59" s="2">
        <f t="shared" si="0"/>
        <v>182.39</v>
      </c>
    </row>
    <row r="60" spans="1:14">
      <c r="F60" s="4"/>
      <c r="G60" s="4"/>
      <c r="H60" s="4"/>
      <c r="I60" s="4"/>
      <c r="K60" s="2">
        <v>9.14</v>
      </c>
      <c r="L60" s="2">
        <v>2.31</v>
      </c>
      <c r="M60" s="2">
        <v>76</v>
      </c>
      <c r="N60" s="2">
        <f t="shared" si="0"/>
        <v>184.7</v>
      </c>
    </row>
    <row r="61" spans="1:14">
      <c r="F61" s="4"/>
      <c r="G61" s="4"/>
      <c r="H61" s="4"/>
      <c r="I61" s="4"/>
      <c r="K61" s="2">
        <v>9.14</v>
      </c>
      <c r="L61" s="2">
        <v>2.31</v>
      </c>
      <c r="M61" s="2">
        <v>77</v>
      </c>
      <c r="N61" s="2">
        <f t="shared" si="0"/>
        <v>187.01</v>
      </c>
    </row>
    <row r="62" spans="1:14">
      <c r="F62" s="4"/>
      <c r="G62" s="4"/>
      <c r="H62" s="4"/>
      <c r="I62" s="4"/>
      <c r="K62" s="2">
        <v>9.14</v>
      </c>
      <c r="L62" s="2">
        <v>2.31</v>
      </c>
      <c r="M62" s="2">
        <v>78</v>
      </c>
      <c r="N62" s="2">
        <f t="shared" si="0"/>
        <v>189.32</v>
      </c>
    </row>
    <row r="63" spans="1:14">
      <c r="F63" s="4"/>
      <c r="G63" s="4"/>
      <c r="H63" s="4"/>
      <c r="I63" s="4"/>
      <c r="K63" s="2">
        <v>9.14</v>
      </c>
      <c r="L63" s="2">
        <v>2.31</v>
      </c>
      <c r="M63" s="2">
        <v>79</v>
      </c>
      <c r="N63" s="2">
        <f t="shared" si="0"/>
        <v>191.63</v>
      </c>
    </row>
    <row r="64" spans="1:14">
      <c r="F64" s="4"/>
      <c r="G64" s="4"/>
      <c r="H64" s="4"/>
      <c r="I64" s="4"/>
      <c r="K64" s="2">
        <v>9.14</v>
      </c>
      <c r="L64" s="2">
        <v>2.31</v>
      </c>
      <c r="M64" s="2">
        <v>80</v>
      </c>
      <c r="N64" s="2">
        <f t="shared" si="0"/>
        <v>193.94</v>
      </c>
    </row>
    <row r="65" spans="6:14">
      <c r="F65" s="4"/>
      <c r="G65" s="4"/>
      <c r="H65" s="4"/>
      <c r="I65" s="4"/>
      <c r="K65" s="2">
        <v>9.14</v>
      </c>
      <c r="L65" s="2">
        <v>2.31</v>
      </c>
      <c r="M65" s="2">
        <v>81</v>
      </c>
      <c r="N65" s="2">
        <f t="shared" si="0"/>
        <v>196.25</v>
      </c>
    </row>
    <row r="66" spans="6:14">
      <c r="F66" s="4"/>
      <c r="G66" s="4"/>
      <c r="H66" s="4"/>
      <c r="I66" s="4"/>
      <c r="K66" s="2">
        <v>9.14</v>
      </c>
      <c r="L66" s="2">
        <v>2.31</v>
      </c>
      <c r="M66" s="2">
        <v>82</v>
      </c>
      <c r="N66" s="2">
        <f t="shared" si="0"/>
        <v>198.56</v>
      </c>
    </row>
    <row r="67" spans="6:14">
      <c r="F67" s="4"/>
      <c r="G67" s="4"/>
      <c r="H67" s="4"/>
      <c r="I67" s="4"/>
      <c r="K67" s="2">
        <v>9.14</v>
      </c>
      <c r="L67" s="2">
        <v>2.31</v>
      </c>
      <c r="M67" s="2">
        <v>83</v>
      </c>
      <c r="N67" s="2">
        <f t="shared" si="0"/>
        <v>200.87</v>
      </c>
    </row>
    <row r="68" spans="6:14">
      <c r="K68" s="2">
        <v>9.14</v>
      </c>
      <c r="L68" s="2">
        <v>2.31</v>
      </c>
      <c r="M68" s="2">
        <v>84</v>
      </c>
      <c r="N68" s="2">
        <f t="shared" ref="N68:N73" si="2">(K68+(L68*M68))</f>
        <v>203.18</v>
      </c>
    </row>
    <row r="69" spans="6:14">
      <c r="K69" s="2">
        <v>9.14</v>
      </c>
      <c r="L69" s="2">
        <v>2.31</v>
      </c>
      <c r="M69" s="2">
        <v>85</v>
      </c>
      <c r="N69" s="2">
        <f t="shared" si="2"/>
        <v>205.49</v>
      </c>
    </row>
    <row r="70" spans="6:14">
      <c r="K70" s="2">
        <v>9.14</v>
      </c>
      <c r="L70" s="2">
        <v>2.31</v>
      </c>
      <c r="M70" s="2">
        <v>86</v>
      </c>
      <c r="N70" s="2">
        <f t="shared" si="2"/>
        <v>207.8</v>
      </c>
    </row>
    <row r="71" spans="6:14">
      <c r="K71" s="2">
        <v>9.14</v>
      </c>
      <c r="L71" s="2">
        <v>2.31</v>
      </c>
      <c r="M71" s="2">
        <v>87</v>
      </c>
      <c r="N71" s="2">
        <f t="shared" si="2"/>
        <v>210.11</v>
      </c>
    </row>
    <row r="72" spans="6:14">
      <c r="K72" s="2">
        <v>9.14</v>
      </c>
      <c r="L72" s="2">
        <v>2.31</v>
      </c>
      <c r="M72" s="2">
        <v>88</v>
      </c>
      <c r="N72" s="2">
        <f t="shared" si="2"/>
        <v>212.42000000000002</v>
      </c>
    </row>
    <row r="73" spans="6:14">
      <c r="K73" s="2">
        <v>9.14</v>
      </c>
      <c r="L73" s="2">
        <v>2.31</v>
      </c>
      <c r="M73" s="2">
        <v>89</v>
      </c>
      <c r="N73" s="2">
        <f t="shared" si="2"/>
        <v>214.73000000000002</v>
      </c>
    </row>
  </sheetData>
  <mergeCells count="4">
    <mergeCell ref="B1:E1"/>
    <mergeCell ref="F1:H1"/>
    <mergeCell ref="K1:N1"/>
    <mergeCell ref="P1:S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596D-C7F0-4570-B58C-951A49D675D2}">
  <dimension ref="B1:J22"/>
  <sheetViews>
    <sheetView tabSelected="1" workbookViewId="0">
      <selection sqref="A1:A1048576"/>
    </sheetView>
  </sheetViews>
  <sheetFormatPr baseColWidth="10" defaultColWidth="12.88671875" defaultRowHeight="12"/>
  <cols>
    <col min="1" max="16384" width="12.88671875" style="2"/>
  </cols>
  <sheetData>
    <row r="1" spans="2:10">
      <c r="B1" s="13" t="s">
        <v>94</v>
      </c>
      <c r="C1" s="13"/>
      <c r="D1" s="13"/>
      <c r="E1" s="13"/>
      <c r="G1" s="13" t="s">
        <v>44</v>
      </c>
      <c r="H1" s="13"/>
      <c r="I1" s="13"/>
      <c r="J1" s="13"/>
    </row>
    <row r="2" spans="2:10">
      <c r="B2" s="2" t="s">
        <v>90</v>
      </c>
      <c r="C2" s="2" t="s">
        <v>91</v>
      </c>
      <c r="D2" s="2" t="s">
        <v>92</v>
      </c>
      <c r="E2" s="2" t="s">
        <v>93</v>
      </c>
      <c r="G2" s="2" t="s">
        <v>90</v>
      </c>
      <c r="H2" s="2" t="s">
        <v>91</v>
      </c>
      <c r="I2" s="2" t="s">
        <v>92</v>
      </c>
      <c r="J2" s="2" t="s">
        <v>93</v>
      </c>
    </row>
    <row r="3" spans="2:10">
      <c r="B3" s="2">
        <v>11.28</v>
      </c>
      <c r="C3" s="2">
        <v>2.37</v>
      </c>
      <c r="D3" s="2">
        <v>1</v>
      </c>
      <c r="E3" s="2">
        <f>(B3+(C3*D3))</f>
        <v>13.649999999999999</v>
      </c>
      <c r="G3" s="2">
        <v>13.77</v>
      </c>
      <c r="H3" s="2">
        <v>2.21</v>
      </c>
      <c r="I3" s="2">
        <v>1</v>
      </c>
      <c r="J3" s="2">
        <f>(G3+(H3*I3))</f>
        <v>15.98</v>
      </c>
    </row>
    <row r="4" spans="2:10">
      <c r="B4" s="2">
        <v>11.28</v>
      </c>
      <c r="C4" s="2">
        <v>2.37</v>
      </c>
      <c r="D4" s="2">
        <v>2</v>
      </c>
      <c r="E4" s="2">
        <f t="shared" ref="E4:E22" si="0">(B4+(C4*D4))</f>
        <v>16.02</v>
      </c>
      <c r="G4" s="2">
        <v>13.77</v>
      </c>
      <c r="H4" s="2">
        <v>2.21</v>
      </c>
      <c r="I4" s="2">
        <v>2</v>
      </c>
      <c r="J4" s="2">
        <f t="shared" ref="J4:J22" si="1">(G4+(H4*I4))</f>
        <v>18.189999999999998</v>
      </c>
    </row>
    <row r="5" spans="2:10">
      <c r="B5" s="2">
        <v>11.28</v>
      </c>
      <c r="C5" s="2">
        <v>2.37</v>
      </c>
      <c r="D5" s="2">
        <v>3</v>
      </c>
      <c r="E5" s="2">
        <f t="shared" si="0"/>
        <v>18.39</v>
      </c>
      <c r="G5" s="2">
        <v>13.77</v>
      </c>
      <c r="H5" s="2">
        <v>2.21</v>
      </c>
      <c r="I5" s="2">
        <v>3</v>
      </c>
      <c r="J5" s="2">
        <f t="shared" si="1"/>
        <v>20.399999999999999</v>
      </c>
    </row>
    <row r="6" spans="2:10">
      <c r="B6" s="2">
        <v>11.28</v>
      </c>
      <c r="C6" s="2">
        <v>2.37</v>
      </c>
      <c r="D6" s="2">
        <v>4</v>
      </c>
      <c r="E6" s="2">
        <f t="shared" si="0"/>
        <v>20.759999999999998</v>
      </c>
      <c r="G6" s="2">
        <v>13.77</v>
      </c>
      <c r="H6" s="2">
        <v>2.21</v>
      </c>
      <c r="I6" s="2">
        <v>4</v>
      </c>
      <c r="J6" s="2">
        <f t="shared" si="1"/>
        <v>22.61</v>
      </c>
    </row>
    <row r="7" spans="2:10">
      <c r="B7" s="2">
        <v>11.28</v>
      </c>
      <c r="C7" s="2">
        <v>2.37</v>
      </c>
      <c r="D7" s="2">
        <v>5</v>
      </c>
      <c r="E7" s="2">
        <f t="shared" si="0"/>
        <v>23.130000000000003</v>
      </c>
      <c r="G7" s="2">
        <v>13.77</v>
      </c>
      <c r="H7" s="2">
        <v>2.21</v>
      </c>
      <c r="I7" s="2">
        <v>5</v>
      </c>
      <c r="J7" s="2">
        <f t="shared" si="1"/>
        <v>24.82</v>
      </c>
    </row>
    <row r="8" spans="2:10">
      <c r="B8" s="2">
        <v>11.28</v>
      </c>
      <c r="C8" s="2">
        <v>2.37</v>
      </c>
      <c r="D8" s="2">
        <v>6</v>
      </c>
      <c r="E8" s="2">
        <f t="shared" si="0"/>
        <v>25.5</v>
      </c>
      <c r="G8" s="2">
        <v>13.77</v>
      </c>
      <c r="H8" s="2">
        <v>2.21</v>
      </c>
      <c r="I8" s="2">
        <v>6</v>
      </c>
      <c r="J8" s="2">
        <f t="shared" si="1"/>
        <v>27.03</v>
      </c>
    </row>
    <row r="9" spans="2:10">
      <c r="B9" s="2">
        <v>11.28</v>
      </c>
      <c r="C9" s="2">
        <v>2.37</v>
      </c>
      <c r="D9" s="2">
        <v>7</v>
      </c>
      <c r="E9" s="2">
        <f t="shared" si="0"/>
        <v>27.869999999999997</v>
      </c>
      <c r="G9" s="2">
        <v>13.77</v>
      </c>
      <c r="H9" s="2">
        <v>2.21</v>
      </c>
      <c r="I9" s="2">
        <v>7</v>
      </c>
      <c r="J9" s="2">
        <f t="shared" si="1"/>
        <v>29.24</v>
      </c>
    </row>
    <row r="10" spans="2:10">
      <c r="B10" s="2">
        <v>11.28</v>
      </c>
      <c r="C10" s="2">
        <v>2.37</v>
      </c>
      <c r="D10" s="2">
        <v>8</v>
      </c>
      <c r="E10" s="2">
        <f t="shared" si="0"/>
        <v>30.240000000000002</v>
      </c>
      <c r="G10" s="2">
        <v>13.77</v>
      </c>
      <c r="H10" s="2">
        <v>2.21</v>
      </c>
      <c r="I10" s="2">
        <v>8</v>
      </c>
      <c r="J10" s="2">
        <f t="shared" si="1"/>
        <v>31.45</v>
      </c>
    </row>
    <row r="11" spans="2:10">
      <c r="B11" s="2">
        <v>11.28</v>
      </c>
      <c r="C11" s="2">
        <v>2.37</v>
      </c>
      <c r="D11" s="2">
        <v>9</v>
      </c>
      <c r="E11" s="2">
        <f t="shared" si="0"/>
        <v>32.61</v>
      </c>
      <c r="G11" s="2">
        <v>13.77</v>
      </c>
      <c r="H11" s="2">
        <v>2.21</v>
      </c>
      <c r="I11" s="2">
        <v>9</v>
      </c>
      <c r="J11" s="2">
        <f t="shared" si="1"/>
        <v>33.659999999999997</v>
      </c>
    </row>
    <row r="12" spans="2:10">
      <c r="B12" s="2">
        <v>11.28</v>
      </c>
      <c r="C12" s="2">
        <v>2.37</v>
      </c>
      <c r="D12" s="2">
        <v>10</v>
      </c>
      <c r="E12" s="2">
        <f t="shared" si="0"/>
        <v>34.980000000000004</v>
      </c>
      <c r="G12" s="2">
        <v>13.77</v>
      </c>
      <c r="H12" s="2">
        <v>2.21</v>
      </c>
      <c r="I12" s="2">
        <v>10</v>
      </c>
      <c r="J12" s="2">
        <f t="shared" si="1"/>
        <v>35.870000000000005</v>
      </c>
    </row>
    <row r="13" spans="2:10">
      <c r="B13" s="2">
        <v>11.28</v>
      </c>
      <c r="C13" s="2">
        <v>2.37</v>
      </c>
      <c r="D13" s="2">
        <v>11</v>
      </c>
      <c r="E13" s="2">
        <f t="shared" si="0"/>
        <v>37.35</v>
      </c>
      <c r="G13" s="2">
        <v>13.77</v>
      </c>
      <c r="H13" s="2">
        <v>2.21</v>
      </c>
      <c r="I13" s="2">
        <v>11</v>
      </c>
      <c r="J13" s="2">
        <f t="shared" si="1"/>
        <v>38.08</v>
      </c>
    </row>
    <row r="14" spans="2:10">
      <c r="B14" s="2">
        <v>11.28</v>
      </c>
      <c r="C14" s="2">
        <v>2.37</v>
      </c>
      <c r="D14" s="2">
        <v>12</v>
      </c>
      <c r="E14" s="2">
        <f t="shared" si="0"/>
        <v>39.72</v>
      </c>
      <c r="G14" s="2">
        <v>13.77</v>
      </c>
      <c r="H14" s="2">
        <v>2.21</v>
      </c>
      <c r="I14" s="2">
        <v>12</v>
      </c>
      <c r="J14" s="2">
        <f t="shared" si="1"/>
        <v>40.29</v>
      </c>
    </row>
    <row r="15" spans="2:10">
      <c r="B15" s="2">
        <v>11.28</v>
      </c>
      <c r="C15" s="2">
        <v>2.37</v>
      </c>
      <c r="D15" s="2">
        <v>13</v>
      </c>
      <c r="E15" s="2">
        <f t="shared" si="0"/>
        <v>42.09</v>
      </c>
      <c r="G15" s="2">
        <v>13.77</v>
      </c>
      <c r="H15" s="2">
        <v>2.21</v>
      </c>
      <c r="I15" s="2">
        <v>13</v>
      </c>
      <c r="J15" s="2">
        <f t="shared" si="1"/>
        <v>42.5</v>
      </c>
    </row>
    <row r="16" spans="2:10">
      <c r="B16" s="2">
        <v>11.28</v>
      </c>
      <c r="C16" s="2">
        <v>2.37</v>
      </c>
      <c r="D16" s="2">
        <v>14</v>
      </c>
      <c r="E16" s="2">
        <f t="shared" si="0"/>
        <v>44.46</v>
      </c>
      <c r="G16" s="2">
        <v>13.77</v>
      </c>
      <c r="H16" s="2">
        <v>2.21</v>
      </c>
      <c r="I16" s="2">
        <v>14</v>
      </c>
      <c r="J16" s="2">
        <f t="shared" si="1"/>
        <v>44.709999999999994</v>
      </c>
    </row>
    <row r="17" spans="2:10">
      <c r="B17" s="2">
        <v>11.28</v>
      </c>
      <c r="C17" s="2">
        <v>2.37</v>
      </c>
      <c r="D17" s="2">
        <v>15</v>
      </c>
      <c r="E17" s="2">
        <f t="shared" si="0"/>
        <v>46.830000000000005</v>
      </c>
      <c r="G17" s="2">
        <v>13.77</v>
      </c>
      <c r="H17" s="2">
        <v>2.21</v>
      </c>
      <c r="I17" s="2">
        <v>15</v>
      </c>
      <c r="J17" s="2">
        <f t="shared" si="1"/>
        <v>46.92</v>
      </c>
    </row>
    <row r="18" spans="2:10">
      <c r="B18" s="2">
        <v>11.28</v>
      </c>
      <c r="C18" s="2">
        <v>2.37</v>
      </c>
      <c r="D18" s="2">
        <v>16</v>
      </c>
      <c r="E18" s="2">
        <f t="shared" si="0"/>
        <v>49.2</v>
      </c>
      <c r="G18" s="2">
        <v>13.77</v>
      </c>
      <c r="H18" s="2">
        <v>2.21</v>
      </c>
      <c r="I18" s="2">
        <v>16</v>
      </c>
      <c r="J18" s="2">
        <f t="shared" si="1"/>
        <v>49.129999999999995</v>
      </c>
    </row>
    <row r="19" spans="2:10">
      <c r="B19" s="2">
        <v>11.28</v>
      </c>
      <c r="C19" s="2">
        <v>2.37</v>
      </c>
      <c r="D19" s="2">
        <v>17</v>
      </c>
      <c r="E19" s="2">
        <f t="shared" si="0"/>
        <v>51.57</v>
      </c>
      <c r="G19" s="2">
        <v>13.77</v>
      </c>
      <c r="H19" s="2">
        <v>2.21</v>
      </c>
      <c r="I19" s="2">
        <v>17</v>
      </c>
      <c r="J19" s="2">
        <f t="shared" si="1"/>
        <v>51.34</v>
      </c>
    </row>
    <row r="20" spans="2:10">
      <c r="B20" s="2">
        <v>11.28</v>
      </c>
      <c r="C20" s="2">
        <v>2.37</v>
      </c>
      <c r="D20" s="2">
        <v>18</v>
      </c>
      <c r="E20" s="2">
        <f t="shared" si="0"/>
        <v>53.940000000000005</v>
      </c>
      <c r="G20" s="2">
        <v>13.77</v>
      </c>
      <c r="H20" s="2">
        <v>2.21</v>
      </c>
      <c r="I20" s="2">
        <v>18</v>
      </c>
      <c r="J20" s="2">
        <f t="shared" si="1"/>
        <v>53.55</v>
      </c>
    </row>
    <row r="21" spans="2:10">
      <c r="B21" s="2">
        <v>11.28</v>
      </c>
      <c r="C21" s="2">
        <v>2.37</v>
      </c>
      <c r="D21" s="2">
        <v>19</v>
      </c>
      <c r="E21" s="2">
        <f t="shared" si="0"/>
        <v>56.31</v>
      </c>
      <c r="G21" s="2">
        <v>13.77</v>
      </c>
      <c r="H21" s="2">
        <v>2.21</v>
      </c>
      <c r="I21" s="2">
        <v>19</v>
      </c>
      <c r="J21" s="2">
        <f t="shared" si="1"/>
        <v>55.760000000000005</v>
      </c>
    </row>
    <row r="22" spans="2:10">
      <c r="B22" s="2">
        <v>11.28</v>
      </c>
      <c r="C22" s="2">
        <v>2.37</v>
      </c>
      <c r="D22" s="2">
        <v>20</v>
      </c>
      <c r="E22" s="2">
        <f t="shared" si="0"/>
        <v>58.680000000000007</v>
      </c>
      <c r="G22" s="2">
        <v>13.77</v>
      </c>
      <c r="H22" s="2">
        <v>2.21</v>
      </c>
      <c r="I22" s="2">
        <v>20</v>
      </c>
      <c r="J22" s="2">
        <f t="shared" si="1"/>
        <v>57.97</v>
      </c>
    </row>
  </sheetData>
  <mergeCells count="2">
    <mergeCell ref="B1:E1"/>
    <mergeCell ref="G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Hoja3</vt:lpstr>
      <vt:lpstr>Hoja4</vt:lpstr>
      <vt:lpstr>Hoja2</vt:lpstr>
      <vt:lpstr>Hoja5</vt:lpstr>
      <vt:lpstr>Hoja2 (2)</vt:lpstr>
      <vt:lpstr>6.3.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51964</dc:creator>
  <cp:lastModifiedBy>51964</cp:lastModifiedBy>
  <dcterms:created xsi:type="dcterms:W3CDTF">2024-04-20T03:38:44Z</dcterms:created>
  <dcterms:modified xsi:type="dcterms:W3CDTF">2024-04-21T16:19:41Z</dcterms:modified>
</cp:coreProperties>
</file>