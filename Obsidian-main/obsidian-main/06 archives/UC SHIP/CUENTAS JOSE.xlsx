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 Anahi\"/>
    </mc:Choice>
  </mc:AlternateContent>
  <xr:revisionPtr revIDLastSave="0" documentId="13_ncr:1_{EE8F5E02-20D3-439D-B02F-36D8908AC6E4}" xr6:coauthVersionLast="47" xr6:coauthVersionMax="47" xr10:uidLastSave="{00000000-0000-0000-0000-000000000000}"/>
  <bookViews>
    <workbookView xWindow="-120" yWindow="-120" windowWidth="29040" windowHeight="15840" xr2:uid="{45C6071E-D17D-49CC-B9F3-819B236EAB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5" i="1" l="1"/>
  <c r="I59" i="1"/>
  <c r="G60" i="1"/>
  <c r="G62" i="1" s="1"/>
  <c r="H73" i="1"/>
  <c r="G59" i="1"/>
  <c r="F72" i="1"/>
  <c r="I36" i="1"/>
  <c r="F59" i="1"/>
  <c r="F32" i="1"/>
  <c r="G32" i="1"/>
  <c r="G35" i="1" s="1"/>
  <c r="G37" i="1" s="1"/>
  <c r="G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Anahi Villena Venero</author>
  </authors>
  <commentList>
    <comment ref="G49" authorId="0" shapeId="0" xr:uid="{7F5846A9-FD69-450D-B65C-414591FF5B1D}">
      <text>
        <r>
          <rPr>
            <b/>
            <sz val="9"/>
            <color indexed="81"/>
            <rFont val="Tahoma"/>
            <family val="2"/>
          </rPr>
          <t>ESTE MONTO NO ESTA EN EL TOTAL POR QUE SE PAGARA EN TRES AÑOS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<sst xmlns="http://schemas.openxmlformats.org/spreadsheetml/2006/main" count="101" uniqueCount="77">
  <si>
    <t>FECHA</t>
  </si>
  <si>
    <t>MOTIVO</t>
  </si>
  <si>
    <t xml:space="preserve">MONTO </t>
  </si>
  <si>
    <t xml:space="preserve">SOLES </t>
  </si>
  <si>
    <t>DOLARES</t>
  </si>
  <si>
    <t>GIRO WESTERN</t>
  </si>
  <si>
    <t>CUIDADOR DE PERROS</t>
  </si>
  <si>
    <t>PASAJE  TUMBES SKY</t>
  </si>
  <si>
    <t>CAMBIO PASAJE ADELANTO FECHA  SKY</t>
  </si>
  <si>
    <t>PASAJE A SANTA BARBARA UNITED</t>
  </si>
  <si>
    <t>ABOGADO</t>
  </si>
  <si>
    <t>Sub total</t>
  </si>
  <si>
    <t xml:space="preserve"> 3 ENVIOS DE JM  200 D C.U.</t>
  </si>
  <si>
    <t>CUENTAS JM</t>
  </si>
  <si>
    <t>GIRO WESTERN (BOLSA DE VIAJE)</t>
  </si>
  <si>
    <t>SALDO DE TARJETA (Flores, MINT Mobile, Uber)</t>
  </si>
  <si>
    <t xml:space="preserve">PAGO DEL DR. VEGA </t>
  </si>
  <si>
    <t>dolares</t>
  </si>
  <si>
    <t>TERAPIAS DE  SOFI SALDO DE FEBRERO (ESTO ES ADICIONAL)</t>
  </si>
  <si>
    <t>MEDICINAS AZULES</t>
  </si>
  <si>
    <t>MEDICINAS VEGA</t>
  </si>
  <si>
    <t xml:space="preserve">saldo en soles </t>
  </si>
  <si>
    <t xml:space="preserve">saldo que falta pagar a la Caja en dolares </t>
  </si>
  <si>
    <t>05.04.24</t>
  </si>
  <si>
    <t>06.06.24</t>
  </si>
  <si>
    <t>GIRO MONEYGRAM</t>
  </si>
  <si>
    <t>14.06.24</t>
  </si>
  <si>
    <t>18.06.24</t>
  </si>
  <si>
    <t>25.06.24</t>
  </si>
  <si>
    <t>09.09.24</t>
  </si>
  <si>
    <t>25.07.24</t>
  </si>
  <si>
    <t>PAGO TERAPIA SOFI SALDO JULIO</t>
  </si>
  <si>
    <t>PAGO TERAPIA SOFI SALDO AGOSTO</t>
  </si>
  <si>
    <t xml:space="preserve">PAGO TERAPIA SOFI SALDO JUNIO </t>
  </si>
  <si>
    <t>04.04.24</t>
  </si>
  <si>
    <t>25.05.24</t>
  </si>
  <si>
    <t xml:space="preserve">PAGO TERAPIA SOFI SALDO  ABRIL </t>
  </si>
  <si>
    <t xml:space="preserve">PAGO TERAPIA SOFI SALDO  MAYO </t>
  </si>
  <si>
    <t>25.08.24</t>
  </si>
  <si>
    <t>09.08.24</t>
  </si>
  <si>
    <t>SALDO EN SOLES</t>
  </si>
  <si>
    <t>T.C.</t>
  </si>
  <si>
    <t>SALDO QUE FALTA PAGAR EN DOLARES</t>
  </si>
  <si>
    <t>FALTA ABONAR</t>
  </si>
  <si>
    <t>SETIEMBRE</t>
  </si>
  <si>
    <t>PAGO TERAPIA SOFI SALDO SETIEMBRE</t>
  </si>
  <si>
    <t>OCTUBRE</t>
  </si>
  <si>
    <t>NOVIEMBRE</t>
  </si>
  <si>
    <t>PAGO TERAPIA SOFI SALDO OCTUBRE</t>
  </si>
  <si>
    <t>PAGO TERAPIA SOFI SALDO NOVIEMBRE</t>
  </si>
  <si>
    <t>DICIEMBRE</t>
  </si>
  <si>
    <t>PAGO TERAPIA SOFI SALDO DICIEMBRE</t>
  </si>
  <si>
    <t>20.06.24</t>
  </si>
  <si>
    <t xml:space="preserve">PAGO UNIVERSIDAD </t>
  </si>
  <si>
    <t>01.07.24</t>
  </si>
  <si>
    <t>01.08.24</t>
  </si>
  <si>
    <t>PAGO PRESTAMO UNIVERSIDAD 1ERA CUOTA</t>
  </si>
  <si>
    <t>PAGO PRESTAMO UNIVERSIDAD 2DA CUOTA</t>
  </si>
  <si>
    <t>PAGO PRESTAMO UNIVERSIDAD 3ERA CUOTA</t>
  </si>
  <si>
    <t>PAGO PRESTAMO UNIVERSIDAD 4TA CUOTA</t>
  </si>
  <si>
    <t>01.09.24</t>
  </si>
  <si>
    <t>PAGO PRESTAMO UNIVERSIDAD 5TA CUOTA</t>
  </si>
  <si>
    <t>PAGO PRESTAMO UNIVERSIDAD 6TA CUOTA</t>
  </si>
  <si>
    <t>PAGO PRESTAMO UNIVERSIDAD 7MA CUOTA</t>
  </si>
  <si>
    <t>SE HA SACADO UN PRESTAMO DE LA CAJA CUSCO POR 16,000 SOLES, PAGANDO CUOTAS DE 612 SOLES POR 36 MESES</t>
  </si>
  <si>
    <t xml:space="preserve"> Son 4870 dolares que se abonaron</t>
  </si>
  <si>
    <t>soles T.C.</t>
  </si>
  <si>
    <t>SE NECESITA PREVER ESTOS PAGOS HASTA DICIEMBRE</t>
  </si>
  <si>
    <t xml:space="preserve"> SALDO DEUDA  EN DOLARES </t>
  </si>
  <si>
    <t>T.C. SOLES</t>
  </si>
  <si>
    <t>SALDO DEUDA DE SOLES, AL T.C.</t>
  </si>
  <si>
    <t xml:space="preserve">SALDO DEUDA TOTAL A SETIEMBRE 24 </t>
  </si>
  <si>
    <t>ENVIO DE JM (1,200  - 400.00 : 50 de Rafo, 50 DE Naia y 300 TERAPIAS DE  Sofi)</t>
  </si>
  <si>
    <t>LA PENSION DE SOFI MENSUAL  DESDE ABRIL ES s/.880.00 SOLES,</t>
  </si>
  <si>
    <t>ABRIL MAYO Y JUNIO MANDASTE A 100 D. POR MES, MAS LOS s/. 280.00 QUE MANDA FELI, SOLO AGREGUE SALDO DE S/. 220.00 POR CADA MES</t>
  </si>
  <si>
    <t>(aca esta incluido la nueva deuda en soles y  los 859.52 d. de la cuenta anterior)</t>
  </si>
  <si>
    <t>usd.  esto es el total de 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</si>
</sst>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43" fontId="1" fillId="0" borderId="1" xfId="1" applyFont="1" applyBorder="1"/>
    <xf numFmtId="43" fontId="0" fillId="0" borderId="1" xfId="0" applyNumberFormat="1" applyBorder="1"/>
    <xf numFmtId="0" fontId="1" fillId="0" borderId="0" xfId="0" applyFont="1"/>
    <xf numFmtId="43" fontId="1" fillId="2" borderId="1" xfId="0" applyNumberFormat="1" applyFont="1" applyFill="1" applyBorder="1"/>
    <xf numFmtId="43" fontId="0" fillId="0" borderId="1" xfId="1" applyFont="1" applyBorder="1"/>
    <xf numFmtId="2" fontId="0" fillId="0" borderId="1" xfId="0" applyNumberFormat="1" applyBorder="1" applyAlignment="1">
      <alignment horizontal="right"/>
    </xf>
    <xf numFmtId="43" fontId="1" fillId="3" borderId="1" xfId="1" applyFont="1" applyFill="1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2" fontId="1" fillId="5" borderId="1" xfId="0" applyNumberFormat="1" applyFont="1" applyFill="1" applyBorder="1"/>
    <xf numFmtId="0" fontId="1" fillId="5" borderId="0" xfId="0" applyFont="1" applyFill="1"/>
    <xf numFmtId="2" fontId="1" fillId="2" borderId="1" xfId="0" applyNumberFormat="1" applyFont="1" applyFill="1" applyBorder="1"/>
    <xf numFmtId="43" fontId="1" fillId="2" borderId="1" xfId="1" applyFont="1" applyFill="1" applyBorder="1"/>
    <xf numFmtId="43" fontId="1" fillId="6" borderId="1" xfId="1" applyFont="1" applyFill="1" applyBorder="1"/>
    <xf numFmtId="0" fontId="0" fillId="6" borderId="0" xfId="0" applyFill="1"/>
    <xf numFmtId="2" fontId="1" fillId="6" borderId="0" xfId="0" applyNumberFormat="1" applyFont="1" applyFill="1"/>
    <xf numFmtId="2" fontId="0" fillId="6" borderId="1" xfId="0" applyNumberFormat="1" applyFill="1" applyBorder="1"/>
    <xf numFmtId="0" fontId="4" fillId="0" borderId="0" xfId="0" applyFont="1"/>
    <xf numFmtId="0" fontId="0" fillId="7" borderId="0" xfId="0" applyFill="1"/>
    <xf numFmtId="0" fontId="1" fillId="7" borderId="0" xfId="0" applyFont="1" applyFill="1"/>
    <xf numFmtId="0" fontId="1" fillId="8" borderId="0" xfId="0" applyFont="1" applyFill="1"/>
    <xf numFmtId="0" fontId="0" fillId="8" borderId="0" xfId="0" applyFill="1"/>
    <xf numFmtId="43" fontId="4" fillId="9" borderId="1" xfId="0" applyNumberFormat="1" applyFont="1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/>
    </xf>
    <xf numFmtId="2" fontId="0" fillId="9" borderId="0" xfId="0" applyNumberFormat="1" applyFill="1"/>
    <xf numFmtId="0" fontId="0" fillId="0" borderId="7" xfId="0" applyBorder="1"/>
    <xf numFmtId="43" fontId="1" fillId="10" borderId="1" xfId="1" applyFont="1" applyFill="1" applyBorder="1"/>
    <xf numFmtId="0" fontId="0" fillId="10" borderId="0" xfId="0" applyFill="1"/>
    <xf numFmtId="43" fontId="1" fillId="10" borderId="0" xfId="1" applyFont="1" applyFill="1"/>
    <xf numFmtId="43" fontId="7" fillId="0" borderId="6" xfId="0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10C5-55A8-43F4-B004-9BD2EC4DE1FA}">
  <dimension ref="D4:S76"/>
  <sheetViews>
    <sheetView tabSelected="1" topLeftCell="A44" workbookViewId="0">
      <selection activeCell="L75" sqref="L75"/>
    </sheetView>
  </sheetViews>
  <sheetFormatPr baseColWidth="10" defaultRowHeight="15" x14ac:dyDescent="0.25"/>
  <cols>
    <col min="5" max="5" width="53.85546875" customWidth="1"/>
    <col min="8" max="8" width="13" bestFit="1" customWidth="1"/>
  </cols>
  <sheetData>
    <row r="4" spans="4:7" x14ac:dyDescent="0.25">
      <c r="E4" t="s">
        <v>13</v>
      </c>
    </row>
    <row r="6" spans="4:7" x14ac:dyDescent="0.25">
      <c r="D6" s="2" t="s">
        <v>0</v>
      </c>
      <c r="E6" s="4" t="s">
        <v>1</v>
      </c>
      <c r="F6" s="6" t="s">
        <v>2</v>
      </c>
      <c r="G6" s="7"/>
    </row>
    <row r="7" spans="4:7" x14ac:dyDescent="0.25">
      <c r="D7" s="3"/>
      <c r="E7" s="5"/>
      <c r="F7" s="12" t="s">
        <v>3</v>
      </c>
      <c r="G7" s="12" t="s">
        <v>4</v>
      </c>
    </row>
    <row r="8" spans="4:7" x14ac:dyDescent="0.25">
      <c r="D8" s="3">
        <v>13.07</v>
      </c>
      <c r="E8" s="14" t="s">
        <v>10</v>
      </c>
      <c r="F8" s="8">
        <v>300</v>
      </c>
      <c r="G8" s="8"/>
    </row>
    <row r="9" spans="4:7" x14ac:dyDescent="0.25">
      <c r="D9" s="3">
        <v>14.07</v>
      </c>
      <c r="E9" s="14" t="s">
        <v>7</v>
      </c>
      <c r="F9" s="8"/>
      <c r="G9" s="8">
        <v>135.72</v>
      </c>
    </row>
    <row r="10" spans="4:7" x14ac:dyDescent="0.25">
      <c r="D10" s="3">
        <v>21.07</v>
      </c>
      <c r="E10" s="14" t="s">
        <v>10</v>
      </c>
      <c r="F10" s="8">
        <v>40</v>
      </c>
      <c r="G10" s="8"/>
    </row>
    <row r="11" spans="4:7" x14ac:dyDescent="0.25">
      <c r="D11" s="3">
        <v>23.07</v>
      </c>
      <c r="E11" s="14" t="s">
        <v>8</v>
      </c>
      <c r="F11" s="8"/>
      <c r="G11" s="8">
        <v>90.52</v>
      </c>
    </row>
    <row r="12" spans="4:7" hidden="1" x14ac:dyDescent="0.25">
      <c r="D12" s="3"/>
      <c r="E12" s="14"/>
      <c r="F12" s="8"/>
      <c r="G12" s="8"/>
    </row>
    <row r="13" spans="4:7" hidden="1" x14ac:dyDescent="0.25">
      <c r="D13" s="3"/>
      <c r="E13" s="14"/>
      <c r="F13" s="8"/>
      <c r="G13" s="8"/>
    </row>
    <row r="14" spans="4:7" x14ac:dyDescent="0.25">
      <c r="D14" s="3">
        <v>1.08</v>
      </c>
      <c r="E14" s="14" t="s">
        <v>9</v>
      </c>
      <c r="F14" s="8"/>
      <c r="G14" s="8">
        <v>437.71</v>
      </c>
    </row>
    <row r="15" spans="4:7" x14ac:dyDescent="0.25">
      <c r="D15" s="1">
        <v>2.08</v>
      </c>
      <c r="E15" s="1" t="s">
        <v>5</v>
      </c>
      <c r="F15" s="8"/>
      <c r="G15" s="8">
        <v>100</v>
      </c>
    </row>
    <row r="16" spans="4:7" x14ac:dyDescent="0.25">
      <c r="D16" s="1">
        <v>7.08</v>
      </c>
      <c r="E16" s="1" t="s">
        <v>5</v>
      </c>
      <c r="F16" s="8"/>
      <c r="G16" s="8">
        <v>100</v>
      </c>
    </row>
    <row r="17" spans="4:7" x14ac:dyDescent="0.25">
      <c r="D17" s="1">
        <v>15.08</v>
      </c>
      <c r="E17" s="1" t="s">
        <v>5</v>
      </c>
      <c r="F17" s="8"/>
      <c r="G17" s="8">
        <v>100</v>
      </c>
    </row>
    <row r="18" spans="4:7" x14ac:dyDescent="0.25">
      <c r="D18" s="1">
        <v>23.08</v>
      </c>
      <c r="E18" s="1" t="s">
        <v>5</v>
      </c>
      <c r="F18" s="8"/>
      <c r="G18" s="8">
        <v>100</v>
      </c>
    </row>
    <row r="19" spans="4:7" x14ac:dyDescent="0.25">
      <c r="D19" s="1">
        <v>30.08</v>
      </c>
      <c r="E19" s="1" t="s">
        <v>14</v>
      </c>
      <c r="F19" s="8"/>
      <c r="G19" s="8">
        <v>300</v>
      </c>
    </row>
    <row r="20" spans="4:7" x14ac:dyDescent="0.25">
      <c r="D20" s="1">
        <v>14.09</v>
      </c>
      <c r="E20" s="1" t="s">
        <v>5</v>
      </c>
      <c r="F20" s="8"/>
      <c r="G20" s="8">
        <v>106</v>
      </c>
    </row>
    <row r="21" spans="4:7" x14ac:dyDescent="0.25">
      <c r="D21" s="1">
        <v>15.09</v>
      </c>
      <c r="E21" s="1" t="s">
        <v>6</v>
      </c>
      <c r="F21" s="8"/>
      <c r="G21" s="8">
        <v>86</v>
      </c>
    </row>
    <row r="22" spans="4:7" x14ac:dyDescent="0.25">
      <c r="D22" s="1">
        <v>25.09</v>
      </c>
      <c r="E22" s="1" t="s">
        <v>5</v>
      </c>
      <c r="F22" s="8"/>
      <c r="G22" s="8">
        <v>60.9</v>
      </c>
    </row>
    <row r="23" spans="4:7" x14ac:dyDescent="0.25">
      <c r="D23" s="1"/>
      <c r="E23" s="13">
        <v>2024</v>
      </c>
      <c r="F23" s="8"/>
      <c r="G23" s="8"/>
    </row>
    <row r="24" spans="4:7" x14ac:dyDescent="0.25">
      <c r="D24" s="1">
        <v>13.01</v>
      </c>
      <c r="E24" s="1" t="s">
        <v>5</v>
      </c>
      <c r="F24" s="8"/>
      <c r="G24" s="8">
        <v>100</v>
      </c>
    </row>
    <row r="25" spans="4:7" x14ac:dyDescent="0.25">
      <c r="D25" s="1">
        <v>25.01</v>
      </c>
      <c r="E25" t="s">
        <v>10</v>
      </c>
      <c r="F25" s="9">
        <v>150</v>
      </c>
      <c r="G25" s="8"/>
    </row>
    <row r="26" spans="4:7" x14ac:dyDescent="0.25">
      <c r="D26" s="1">
        <v>4.0199999999999996</v>
      </c>
      <c r="E26" s="1" t="s">
        <v>5</v>
      </c>
      <c r="F26" s="8"/>
      <c r="G26" s="8">
        <v>100</v>
      </c>
    </row>
    <row r="27" spans="4:7" x14ac:dyDescent="0.25">
      <c r="D27" s="1">
        <v>21.02</v>
      </c>
      <c r="E27" s="1" t="s">
        <v>16</v>
      </c>
      <c r="F27" s="8">
        <v>230</v>
      </c>
      <c r="G27" s="8"/>
    </row>
    <row r="28" spans="4:7" x14ac:dyDescent="0.25">
      <c r="D28" s="1"/>
      <c r="E28" s="1" t="s">
        <v>15</v>
      </c>
      <c r="F28" s="8"/>
      <c r="G28" s="8">
        <v>70.260000000000005</v>
      </c>
    </row>
    <row r="29" spans="4:7" x14ac:dyDescent="0.25">
      <c r="D29" s="12">
        <v>6.03</v>
      </c>
      <c r="E29" s="1" t="s">
        <v>18</v>
      </c>
      <c r="F29" s="8">
        <v>280</v>
      </c>
      <c r="G29" s="8"/>
    </row>
    <row r="30" spans="4:7" x14ac:dyDescent="0.25">
      <c r="D30" s="12">
        <v>23.02</v>
      </c>
      <c r="E30" s="1" t="s">
        <v>19</v>
      </c>
      <c r="F30" s="8">
        <v>165.5</v>
      </c>
      <c r="G30" s="8"/>
    </row>
    <row r="31" spans="4:7" x14ac:dyDescent="0.25">
      <c r="D31" s="12">
        <v>23.02</v>
      </c>
      <c r="E31" s="1" t="s">
        <v>20</v>
      </c>
      <c r="F31" s="8">
        <v>231.03</v>
      </c>
      <c r="G31" s="8"/>
    </row>
    <row r="32" spans="4:7" x14ac:dyDescent="0.25">
      <c r="D32" s="1"/>
      <c r="E32" s="11" t="s">
        <v>11</v>
      </c>
      <c r="F32" s="16">
        <f>SUM(F8:F31)</f>
        <v>1396.53</v>
      </c>
      <c r="G32" s="16">
        <f>SUM(G8:G28)</f>
        <v>1887.1100000000001</v>
      </c>
    </row>
    <row r="33" spans="4:12" x14ac:dyDescent="0.25">
      <c r="D33" s="1"/>
      <c r="E33" s="1"/>
      <c r="F33" s="1"/>
      <c r="G33" s="1"/>
    </row>
    <row r="34" spans="4:12" x14ac:dyDescent="0.25">
      <c r="D34" s="1"/>
      <c r="E34" s="10" t="s">
        <v>12</v>
      </c>
      <c r="F34" s="1"/>
      <c r="G34" s="8">
        <v>600</v>
      </c>
      <c r="I34" s="23" t="s">
        <v>40</v>
      </c>
    </row>
    <row r="35" spans="4:12" x14ac:dyDescent="0.25">
      <c r="D35" s="1"/>
      <c r="E35" s="15" t="s">
        <v>22</v>
      </c>
      <c r="F35" s="1"/>
      <c r="G35" s="16">
        <f>G32-G34</f>
        <v>1287.1100000000001</v>
      </c>
      <c r="H35" t="s">
        <v>17</v>
      </c>
      <c r="I35" s="23">
        <v>1396.53</v>
      </c>
      <c r="J35">
        <v>3.75</v>
      </c>
      <c r="K35" t="s">
        <v>41</v>
      </c>
    </row>
    <row r="36" spans="4:12" x14ac:dyDescent="0.25">
      <c r="D36" s="1"/>
      <c r="E36" s="15" t="s">
        <v>21</v>
      </c>
      <c r="F36" s="22">
        <v>1396.53</v>
      </c>
      <c r="G36" s="24">
        <v>372.40800000000002</v>
      </c>
      <c r="I36">
        <f>I35/J35</f>
        <v>372.40800000000002</v>
      </c>
    </row>
    <row r="37" spans="4:12" x14ac:dyDescent="0.25">
      <c r="D37" s="1"/>
      <c r="E37" s="1"/>
      <c r="F37" s="1"/>
      <c r="G37" s="17">
        <f>SUM(G35:G36)</f>
        <v>1659.518</v>
      </c>
    </row>
    <row r="38" spans="4:12" ht="39.75" customHeight="1" x14ac:dyDescent="0.25">
      <c r="D38" s="43" t="s">
        <v>23</v>
      </c>
      <c r="E38" s="42" t="s">
        <v>72</v>
      </c>
      <c r="F38" s="1"/>
      <c r="G38" s="1">
        <v>800</v>
      </c>
    </row>
    <row r="39" spans="4:12" x14ac:dyDescent="0.25">
      <c r="D39" s="1"/>
      <c r="E39" s="15" t="s">
        <v>42</v>
      </c>
      <c r="F39" s="1"/>
      <c r="G39" s="19">
        <f>G37-G38</f>
        <v>859.51800000000003</v>
      </c>
      <c r="H39" s="39"/>
      <c r="I39" s="39"/>
      <c r="J39" s="40"/>
      <c r="K39" s="40"/>
    </row>
    <row r="41" spans="4:12" x14ac:dyDescent="0.25">
      <c r="H41" s="18"/>
    </row>
    <row r="42" spans="4:12" x14ac:dyDescent="0.25">
      <c r="D42" s="2" t="s">
        <v>0</v>
      </c>
      <c r="E42" s="4" t="s">
        <v>1</v>
      </c>
      <c r="F42" s="6" t="s">
        <v>2</v>
      </c>
      <c r="G42" s="7"/>
    </row>
    <row r="43" spans="4:12" x14ac:dyDescent="0.25">
      <c r="D43" s="3"/>
      <c r="E43" s="5"/>
      <c r="F43" s="12" t="s">
        <v>3</v>
      </c>
      <c r="G43" s="12" t="s">
        <v>4</v>
      </c>
    </row>
    <row r="44" spans="4:12" x14ac:dyDescent="0.25">
      <c r="D44" s="3" t="s">
        <v>34</v>
      </c>
      <c r="E44" s="14" t="s">
        <v>36</v>
      </c>
      <c r="F44" s="21">
        <v>220</v>
      </c>
      <c r="G44" s="12"/>
      <c r="H44" s="38" t="s">
        <v>73</v>
      </c>
      <c r="I44" s="38"/>
      <c r="J44" s="38"/>
      <c r="K44" s="38"/>
      <c r="L44" s="37"/>
    </row>
    <row r="45" spans="4:12" x14ac:dyDescent="0.25">
      <c r="D45" s="3" t="s">
        <v>35</v>
      </c>
      <c r="E45" s="14" t="s">
        <v>37</v>
      </c>
      <c r="F45" s="21">
        <v>220</v>
      </c>
      <c r="G45" s="12"/>
      <c r="H45" s="25" t="s">
        <v>74</v>
      </c>
      <c r="I45" s="25"/>
      <c r="J45" s="25"/>
      <c r="K45" s="25"/>
    </row>
    <row r="46" spans="4:12" x14ac:dyDescent="0.25">
      <c r="D46" s="1" t="s">
        <v>24</v>
      </c>
      <c r="E46" s="1" t="s">
        <v>25</v>
      </c>
      <c r="F46" s="1"/>
      <c r="G46" s="8">
        <v>105</v>
      </c>
    </row>
    <row r="47" spans="4:12" x14ac:dyDescent="0.25">
      <c r="D47" s="1" t="s">
        <v>26</v>
      </c>
      <c r="E47" s="1" t="s">
        <v>25</v>
      </c>
      <c r="F47" s="1"/>
      <c r="G47" s="8">
        <v>50</v>
      </c>
    </row>
    <row r="48" spans="4:12" x14ac:dyDescent="0.25">
      <c r="D48" s="1" t="s">
        <v>27</v>
      </c>
      <c r="E48" s="1" t="s">
        <v>25</v>
      </c>
      <c r="F48" s="1"/>
      <c r="G48" s="8">
        <v>150</v>
      </c>
    </row>
    <row r="49" spans="4:19" x14ac:dyDescent="0.25">
      <c r="D49" s="27" t="s">
        <v>52</v>
      </c>
      <c r="E49" s="27" t="s">
        <v>53</v>
      </c>
      <c r="F49" s="27"/>
      <c r="G49" s="28">
        <v>4870</v>
      </c>
      <c r="H49" s="26" t="s">
        <v>64</v>
      </c>
      <c r="I49" s="26"/>
      <c r="J49" s="26"/>
      <c r="K49" s="26"/>
      <c r="L49" s="26"/>
      <c r="M49" s="26"/>
      <c r="N49" s="26"/>
      <c r="O49" s="26"/>
      <c r="P49" s="26"/>
      <c r="Q49" s="29" t="s">
        <v>65</v>
      </c>
      <c r="R49" s="29"/>
      <c r="S49" s="29"/>
    </row>
    <row r="50" spans="4:19" x14ac:dyDescent="0.25">
      <c r="D50" s="1" t="s">
        <v>28</v>
      </c>
      <c r="E50" s="1" t="s">
        <v>25</v>
      </c>
      <c r="F50" s="1"/>
      <c r="G50" s="8">
        <v>60</v>
      </c>
    </row>
    <row r="51" spans="4:19" x14ac:dyDescent="0.25">
      <c r="D51" s="1" t="s">
        <v>28</v>
      </c>
      <c r="E51" s="1" t="s">
        <v>33</v>
      </c>
      <c r="F51" s="8">
        <v>220</v>
      </c>
      <c r="G51" s="1"/>
    </row>
    <row r="52" spans="4:19" x14ac:dyDescent="0.25">
      <c r="D52" s="1" t="s">
        <v>54</v>
      </c>
      <c r="E52" s="1" t="s">
        <v>56</v>
      </c>
      <c r="F52" s="8">
        <v>612</v>
      </c>
      <c r="G52" s="1"/>
    </row>
    <row r="53" spans="4:19" x14ac:dyDescent="0.25">
      <c r="D53" s="1" t="s">
        <v>30</v>
      </c>
      <c r="E53" s="1" t="s">
        <v>31</v>
      </c>
      <c r="F53" s="8">
        <v>600</v>
      </c>
      <c r="G53" s="8"/>
    </row>
    <row r="54" spans="4:19" x14ac:dyDescent="0.25">
      <c r="D54" s="1" t="s">
        <v>55</v>
      </c>
      <c r="E54" s="1" t="s">
        <v>57</v>
      </c>
      <c r="F54" s="8">
        <v>612</v>
      </c>
      <c r="G54" s="8"/>
    </row>
    <row r="55" spans="4:19" x14ac:dyDescent="0.25">
      <c r="D55" s="1" t="s">
        <v>39</v>
      </c>
      <c r="E55" s="1" t="s">
        <v>25</v>
      </c>
      <c r="F55" s="1"/>
      <c r="G55" s="8">
        <v>210</v>
      </c>
    </row>
    <row r="56" spans="4:19" x14ac:dyDescent="0.25">
      <c r="D56" s="1" t="s">
        <v>38</v>
      </c>
      <c r="E56" s="1" t="s">
        <v>32</v>
      </c>
      <c r="F56" s="8">
        <v>600</v>
      </c>
      <c r="G56" s="8"/>
    </row>
    <row r="57" spans="4:19" x14ac:dyDescent="0.25">
      <c r="D57" s="1" t="s">
        <v>60</v>
      </c>
      <c r="E57" s="1" t="s">
        <v>58</v>
      </c>
      <c r="F57" s="8">
        <v>612</v>
      </c>
      <c r="G57" s="8"/>
    </row>
    <row r="58" spans="4:19" x14ac:dyDescent="0.25">
      <c r="D58" s="1" t="s">
        <v>29</v>
      </c>
      <c r="E58" s="1" t="s">
        <v>25</v>
      </c>
      <c r="F58" s="1"/>
      <c r="G58" s="20">
        <v>55</v>
      </c>
      <c r="I58" s="33">
        <v>3.8</v>
      </c>
      <c r="J58" t="s">
        <v>69</v>
      </c>
    </row>
    <row r="59" spans="4:19" x14ac:dyDescent="0.25">
      <c r="D59" s="1"/>
      <c r="E59" s="1"/>
      <c r="F59" s="32">
        <f>SUM(F44:F58)</f>
        <v>3696</v>
      </c>
      <c r="G59" s="30">
        <f>G46+G47+G48+G50+G55+G58</f>
        <v>630</v>
      </c>
      <c r="H59">
        <v>3696</v>
      </c>
      <c r="I59" s="34">
        <f>H59/I58</f>
        <v>972.63157894736844</v>
      </c>
      <c r="J59" t="s">
        <v>70</v>
      </c>
    </row>
    <row r="60" spans="4:19" x14ac:dyDescent="0.25">
      <c r="D60" s="1"/>
      <c r="E60" s="1"/>
      <c r="F60" s="16"/>
      <c r="G60" s="31">
        <f>G39+G59</f>
        <v>1489.518</v>
      </c>
      <c r="H60" t="s">
        <v>68</v>
      </c>
    </row>
    <row r="61" spans="4:19" x14ac:dyDescent="0.25">
      <c r="D61" s="1"/>
      <c r="E61" s="1"/>
      <c r="F61" s="1"/>
      <c r="G61" s="35">
        <v>972.63157894736844</v>
      </c>
    </row>
    <row r="62" spans="4:19" x14ac:dyDescent="0.25">
      <c r="D62" s="1"/>
      <c r="F62" s="1"/>
      <c r="G62" s="41">
        <f>SUM(G60:G61)</f>
        <v>2462.1495789473684</v>
      </c>
      <c r="H62" s="36" t="s">
        <v>71</v>
      </c>
      <c r="I62" s="36"/>
      <c r="J62" s="36"/>
      <c r="K62" t="s">
        <v>75</v>
      </c>
    </row>
    <row r="63" spans="4:19" x14ac:dyDescent="0.25">
      <c r="D63" s="1"/>
      <c r="E63" s="12" t="s">
        <v>43</v>
      </c>
      <c r="F63" s="1"/>
      <c r="G63" s="41"/>
      <c r="H63" s="36"/>
      <c r="I63" s="36"/>
      <c r="J63" s="36"/>
    </row>
    <row r="64" spans="4:19" x14ac:dyDescent="0.25">
      <c r="D64" s="1" t="s">
        <v>44</v>
      </c>
      <c r="E64" s="1" t="s">
        <v>45</v>
      </c>
      <c r="F64" s="8">
        <v>600</v>
      </c>
      <c r="G64" s="1"/>
    </row>
    <row r="65" spans="4:10" x14ac:dyDescent="0.25">
      <c r="D65" s="1" t="s">
        <v>44</v>
      </c>
      <c r="E65" s="1" t="s">
        <v>59</v>
      </c>
      <c r="F65" s="8">
        <v>612</v>
      </c>
      <c r="G65" s="1"/>
    </row>
    <row r="66" spans="4:10" x14ac:dyDescent="0.25">
      <c r="D66" s="1" t="s">
        <v>46</v>
      </c>
      <c r="E66" s="1" t="s">
        <v>48</v>
      </c>
      <c r="F66" s="8">
        <v>600</v>
      </c>
      <c r="G66" s="1"/>
    </row>
    <row r="67" spans="4:10" x14ac:dyDescent="0.25">
      <c r="D67" s="1" t="s">
        <v>46</v>
      </c>
      <c r="E67" s="1" t="s">
        <v>61</v>
      </c>
      <c r="F67" s="8">
        <v>612</v>
      </c>
      <c r="G67" s="1"/>
    </row>
    <row r="68" spans="4:10" x14ac:dyDescent="0.25">
      <c r="D68" s="1" t="s">
        <v>47</v>
      </c>
      <c r="E68" s="1" t="s">
        <v>49</v>
      </c>
      <c r="F68" s="8">
        <v>600</v>
      </c>
      <c r="G68" s="1"/>
    </row>
    <row r="69" spans="4:10" x14ac:dyDescent="0.25">
      <c r="D69" s="1" t="s">
        <v>47</v>
      </c>
      <c r="E69" s="1" t="s">
        <v>62</v>
      </c>
      <c r="F69" s="8">
        <v>612</v>
      </c>
      <c r="G69" s="1"/>
    </row>
    <row r="70" spans="4:10" x14ac:dyDescent="0.25">
      <c r="D70" s="1" t="s">
        <v>50</v>
      </c>
      <c r="E70" s="1" t="s">
        <v>51</v>
      </c>
      <c r="F70" s="8">
        <v>600</v>
      </c>
      <c r="G70" s="1"/>
    </row>
    <row r="71" spans="4:10" x14ac:dyDescent="0.25">
      <c r="D71" s="1" t="s">
        <v>50</v>
      </c>
      <c r="E71" s="1" t="s">
        <v>63</v>
      </c>
      <c r="F71" s="8">
        <v>612</v>
      </c>
      <c r="G71" s="1"/>
    </row>
    <row r="72" spans="4:10" x14ac:dyDescent="0.25">
      <c r="D72" s="1"/>
      <c r="E72" s="1"/>
      <c r="F72" s="46">
        <f>SUM(F64:F71)</f>
        <v>4848</v>
      </c>
      <c r="G72" s="8"/>
      <c r="H72" s="47">
        <v>4848</v>
      </c>
      <c r="I72" s="47" t="s">
        <v>66</v>
      </c>
      <c r="J72" s="47">
        <v>3.8</v>
      </c>
    </row>
    <row r="73" spans="4:10" x14ac:dyDescent="0.25">
      <c r="D73" s="1"/>
      <c r="E73" s="1"/>
      <c r="F73" s="1"/>
      <c r="G73" s="1"/>
      <c r="H73" s="48">
        <f>H72/J72</f>
        <v>1275.7894736842106</v>
      </c>
      <c r="I73" s="18" t="s">
        <v>67</v>
      </c>
    </row>
    <row r="74" spans="4:10" ht="15.75" thickBot="1" x14ac:dyDescent="0.3">
      <c r="D74" s="1"/>
      <c r="E74" s="1"/>
      <c r="F74" s="1"/>
      <c r="G74" s="1"/>
      <c r="H74" s="44">
        <v>2462.1495789473684</v>
      </c>
    </row>
    <row r="75" spans="4:10" ht="19.5" thickBot="1" x14ac:dyDescent="0.35">
      <c r="D75" s="1"/>
      <c r="E75" s="1"/>
      <c r="F75" s="1"/>
      <c r="G75" s="45"/>
      <c r="H75" s="49">
        <f>SUM(H73:H74)</f>
        <v>3737.9390526315792</v>
      </c>
      <c r="I75" t="s">
        <v>76</v>
      </c>
    </row>
    <row r="76" spans="4:10" x14ac:dyDescent="0.25">
      <c r="D76" s="1"/>
      <c r="E76" s="1"/>
      <c r="F76" s="1"/>
      <c r="G76" s="1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Anahi Villena Venero</dc:creator>
  <cp:lastModifiedBy>Maria Anahi Villena Venero</cp:lastModifiedBy>
  <dcterms:created xsi:type="dcterms:W3CDTF">2024-02-21T17:18:52Z</dcterms:created>
  <dcterms:modified xsi:type="dcterms:W3CDTF">2024-09-13T19:59:15Z</dcterms:modified>
</cp:coreProperties>
</file>